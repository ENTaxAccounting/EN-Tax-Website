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/Documents/AppProjects/EN-Tax-Website/pro_tools/ultimate_tax_tracker/"/>
    </mc:Choice>
  </mc:AlternateContent>
  <xr:revisionPtr revIDLastSave="0" documentId="8_{67B07125-477A-1949-B07D-0EB1B7EC22AE}" xr6:coauthVersionLast="47" xr6:coauthVersionMax="47" xr10:uidLastSave="{00000000-0000-0000-0000-000000000000}"/>
  <bookViews>
    <workbookView xWindow="220" yWindow="780" windowWidth="29220" windowHeight="19880" xr2:uid="{0E3515D0-A2A1-324C-9DC3-0DB1AB018A1B}"/>
  </bookViews>
  <sheets>
    <sheet name="Executive Dashboard" sheetId="1" r:id="rId1"/>
    <sheet name="Recurring Setup" sheetId="13" r:id="rId2"/>
    <sheet name="Business Expenses" sheetId="2" r:id="rId3"/>
    <sheet name="Home Office" sheetId="3" r:id="rId4"/>
    <sheet name="Vehicle &amp; Travel" sheetId="4" r:id="rId5"/>
    <sheet name="Medical &amp; Health" sheetId="6" r:id="rId6"/>
    <sheet name="Charitable Contributions" sheetId="7" r:id="rId7"/>
    <sheet name="Investment &amp; Financial" sheetId="8" r:id="rId8"/>
    <sheet name="Mileage Log" sheetId="9" r:id="rId9"/>
    <sheet name="Receipt Tracker" sheetId="10" r:id="rId10"/>
    <sheet name="Year-End Summary" sheetId="11" r:id="rId11"/>
    <sheet name="Instructions &amp; Tips" sheetId="12" r:id="rId1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10" l="1"/>
  <c r="E5" i="1" a="1"/>
  <c r="E5" i="1" s="1"/>
  <c r="G24" i="1"/>
  <c r="G23" i="1"/>
  <c r="G22" i="1"/>
  <c r="G21" i="1"/>
  <c r="G20" i="1"/>
  <c r="G19" i="1"/>
  <c r="G18" i="1"/>
  <c r="G17" i="1"/>
  <c r="G16" i="1"/>
  <c r="G15" i="1"/>
  <c r="G14" i="1"/>
  <c r="G13" i="1"/>
  <c r="F24" i="1"/>
  <c r="F23" i="1"/>
  <c r="F22" i="1"/>
  <c r="F21" i="1"/>
  <c r="F20" i="1"/>
  <c r="F19" i="1"/>
  <c r="F18" i="1"/>
  <c r="F17" i="1"/>
  <c r="F16" i="1"/>
  <c r="F15" i="1"/>
  <c r="F14" i="1"/>
  <c r="F13" i="1"/>
  <c r="E24" i="1"/>
  <c r="E23" i="1"/>
  <c r="E22" i="1"/>
  <c r="E21" i="1"/>
  <c r="E20" i="1"/>
  <c r="E19" i="1"/>
  <c r="E18" i="1"/>
  <c r="E17" i="1"/>
  <c r="E16" i="1"/>
  <c r="E15" i="1"/>
  <c r="E14" i="1"/>
  <c r="E13" i="1"/>
  <c r="D24" i="1"/>
  <c r="D23" i="1"/>
  <c r="D22" i="1"/>
  <c r="D21" i="1"/>
  <c r="D20" i="1"/>
  <c r="D19" i="1"/>
  <c r="B14" i="1"/>
  <c r="H2" i="1"/>
  <c r="H7" i="1"/>
  <c r="H6" i="1"/>
  <c r="H5" i="1"/>
  <c r="E2" i="1"/>
  <c r="B24" i="1"/>
  <c r="B23" i="1"/>
  <c r="B22" i="1"/>
  <c r="B21" i="1"/>
  <c r="B20" i="1"/>
  <c r="B19" i="1"/>
  <c r="B18" i="1"/>
  <c r="B17" i="1"/>
  <c r="B16" i="1"/>
  <c r="B15" i="1"/>
  <c r="B13" i="1"/>
  <c r="J13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" i="9"/>
  <c r="I15" i="6"/>
  <c r="I9" i="6"/>
  <c r="B11" i="11" s="1"/>
  <c r="J6" i="4"/>
  <c r="J4" i="4"/>
  <c r="G17" i="4"/>
  <c r="J16" i="4" s="1"/>
  <c r="G15" i="4"/>
  <c r="G13" i="4"/>
  <c r="G11" i="4"/>
  <c r="G10" i="4"/>
  <c r="J13" i="4" s="1"/>
  <c r="G9" i="4"/>
  <c r="G7" i="4"/>
  <c r="J15" i="4" s="1"/>
  <c r="G5" i="4"/>
  <c r="J12" i="4" s="1"/>
  <c r="G4" i="4"/>
  <c r="B88" i="11"/>
  <c r="B89" i="11"/>
  <c r="B87" i="11"/>
  <c r="B60" i="11"/>
  <c r="J24" i="10"/>
  <c r="K24" i="10"/>
  <c r="L24" i="10"/>
  <c r="E61" i="10"/>
  <c r="J25" i="10"/>
  <c r="K25" i="10"/>
  <c r="L25" i="10"/>
  <c r="E62" i="10"/>
  <c r="K26" i="10"/>
  <c r="L26" i="10"/>
  <c r="E63" i="10"/>
  <c r="L18" i="6"/>
  <c r="L17" i="6"/>
  <c r="L16" i="6"/>
  <c r="L15" i="6"/>
  <c r="L3" i="6"/>
  <c r="L4" i="6"/>
  <c r="L5" i="6"/>
  <c r="L6" i="6"/>
  <c r="L7" i="6"/>
  <c r="L8" i="6"/>
  <c r="L9" i="6"/>
  <c r="L10" i="6"/>
  <c r="L11" i="6"/>
  <c r="L12" i="6"/>
  <c r="J7" i="4"/>
  <c r="N5" i="10"/>
  <c r="N12" i="10" s="1"/>
  <c r="E7" i="1" s="1"/>
  <c r="N4" i="10"/>
  <c r="N13" i="10" s="1"/>
  <c r="H22" i="8"/>
  <c r="H21" i="8"/>
  <c r="H18" i="8"/>
  <c r="H17" i="8"/>
  <c r="H16" i="8"/>
  <c r="H15" i="8"/>
  <c r="H10" i="8"/>
  <c r="H9" i="8"/>
  <c r="H8" i="8"/>
  <c r="H7" i="8"/>
  <c r="H6" i="8"/>
  <c r="H5" i="8"/>
  <c r="H4" i="8"/>
  <c r="H3" i="8"/>
  <c r="J17" i="7"/>
  <c r="J13" i="7"/>
  <c r="J12" i="7"/>
  <c r="J11" i="7"/>
  <c r="J10" i="7"/>
  <c r="J3" i="7"/>
  <c r="J4" i="7"/>
  <c r="J5" i="7"/>
  <c r="J6" i="7"/>
  <c r="M16" i="7" s="1"/>
  <c r="J7" i="7"/>
  <c r="M5" i="7"/>
  <c r="M4" i="7"/>
  <c r="M3" i="7"/>
  <c r="M10" i="7" s="1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H9" i="3"/>
  <c r="K8" i="3"/>
  <c r="D10" i="3" s="1"/>
  <c r="E10" i="3" s="1"/>
  <c r="C21" i="1" s="1"/>
  <c r="I5" i="6"/>
  <c r="I10" i="6" s="1"/>
  <c r="BD89" i="11"/>
  <c r="BD88" i="11"/>
  <c r="BD87" i="11"/>
  <c r="B57" i="11"/>
  <c r="B51" i="11"/>
  <c r="B44" i="11"/>
  <c r="B31" i="11"/>
  <c r="H12" i="8"/>
  <c r="B25" i="11" s="1"/>
  <c r="J16" i="7"/>
  <c r="M6" i="7"/>
  <c r="M15" i="7" s="1"/>
  <c r="I4" i="6"/>
  <c r="I3" i="6"/>
  <c r="J5" i="4"/>
  <c r="J3" i="4"/>
  <c r="J10" i="4" s="1"/>
  <c r="J10" i="9"/>
  <c r="K7" i="9"/>
  <c r="K6" i="9"/>
  <c r="K4" i="9"/>
  <c r="K5" i="9" l="1"/>
  <c r="B94" i="11" s="1"/>
  <c r="J27" i="2"/>
  <c r="B21" i="11" s="1"/>
  <c r="G25" i="4"/>
  <c r="M11" i="7"/>
  <c r="M17" i="7" s="1"/>
  <c r="B67" i="11"/>
  <c r="G18" i="4"/>
  <c r="G26" i="4"/>
  <c r="M14" i="7"/>
  <c r="B66" i="11"/>
  <c r="G3" i="4"/>
  <c r="G19" i="4"/>
  <c r="B95" i="11"/>
  <c r="G12" i="4"/>
  <c r="D15" i="1" s="1"/>
  <c r="G20" i="4"/>
  <c r="G21" i="4"/>
  <c r="G6" i="4"/>
  <c r="G14" i="4"/>
  <c r="G22" i="4"/>
  <c r="G23" i="4"/>
  <c r="G2" i="4"/>
  <c r="G8" i="4"/>
  <c r="G16" i="4"/>
  <c r="G24" i="4"/>
  <c r="K19" i="9"/>
  <c r="J14" i="4"/>
  <c r="J18" i="7"/>
  <c r="J19" i="7" s="1"/>
  <c r="N18" i="10"/>
  <c r="N7" i="10"/>
  <c r="B69" i="11" s="1"/>
  <c r="N19" i="10"/>
  <c r="N20" i="10"/>
  <c r="N6" i="10"/>
  <c r="B68" i="11" s="1"/>
  <c r="N16" i="10"/>
  <c r="N17" i="10"/>
  <c r="N8" i="10"/>
  <c r="N3" i="10"/>
  <c r="H23" i="8"/>
  <c r="K16" i="9"/>
  <c r="K17" i="9"/>
  <c r="K18" i="9"/>
  <c r="D9" i="3"/>
  <c r="E9" i="3" s="1"/>
  <c r="C20" i="1" s="1"/>
  <c r="D11" i="3"/>
  <c r="E11" i="3" s="1"/>
  <c r="C22" i="1" s="1"/>
  <c r="D3" i="3"/>
  <c r="E3" i="3" s="1"/>
  <c r="C14" i="1" s="1"/>
  <c r="D7" i="3"/>
  <c r="E7" i="3" s="1"/>
  <c r="C18" i="1" s="1"/>
  <c r="D8" i="3"/>
  <c r="E8" i="3" s="1"/>
  <c r="C19" i="1" s="1"/>
  <c r="D4" i="3"/>
  <c r="E4" i="3" s="1"/>
  <c r="C15" i="1" s="1"/>
  <c r="D12" i="3"/>
  <c r="E12" i="3" s="1"/>
  <c r="C23" i="1" s="1"/>
  <c r="D13" i="3"/>
  <c r="E13" i="3" s="1"/>
  <c r="C24" i="1" s="1"/>
  <c r="D5" i="3"/>
  <c r="E5" i="3" s="1"/>
  <c r="C16" i="1" s="1"/>
  <c r="H12" i="3"/>
  <c r="D2" i="3"/>
  <c r="E2" i="3" s="1"/>
  <c r="D6" i="3"/>
  <c r="E6" i="3" s="1"/>
  <c r="C17" i="1" s="1"/>
  <c r="D14" i="1" l="1"/>
  <c r="D16" i="1"/>
  <c r="D18" i="1"/>
  <c r="D17" i="1"/>
  <c r="J8" i="4"/>
  <c r="B23" i="11" s="1"/>
  <c r="N11" i="10"/>
  <c r="B65" i="11"/>
  <c r="H4" i="1"/>
  <c r="E4" i="1"/>
  <c r="D13" i="1"/>
  <c r="M19" i="7"/>
  <c r="B14" i="11" s="1"/>
  <c r="B16" i="11" s="1"/>
  <c r="B93" i="11" s="1"/>
  <c r="J11" i="4"/>
  <c r="C13" i="1"/>
  <c r="H3" i="1"/>
  <c r="E3" i="1"/>
  <c r="H13" i="3"/>
  <c r="H14" i="3" s="1"/>
  <c r="B18" i="11" l="1"/>
  <c r="B37" i="11" s="1"/>
  <c r="E6" i="1"/>
  <c r="I4" i="1" s="1"/>
  <c r="H16" i="3"/>
  <c r="B22" i="11" s="1"/>
  <c r="B26" i="11" s="1"/>
  <c r="B30" i="11" s="1"/>
  <c r="B34" i="11" s="1"/>
  <c r="B36" i="11" s="1"/>
  <c r="B38" i="11" s="1"/>
  <c r="B92" i="11" l="1"/>
  <c r="I3" i="1"/>
  <c r="B41" i="11"/>
  <c r="B43" i="11" s="1"/>
  <c r="B45" i="11" s="1"/>
  <c r="I5" i="1"/>
  <c r="I2" i="1"/>
  <c r="I7" i="1"/>
  <c r="I6" i="1"/>
  <c r="B48" i="11" l="1"/>
  <c r="B50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<sst xmlns="http://schemas.openxmlformats.org/spreadsheetml/2006/main" count="2236" uniqueCount="935">
  <si>
    <t>Date</t>
  </si>
  <si>
    <t>Vendor/Payee</t>
  </si>
  <si>
    <t>Description</t>
  </si>
  <si>
    <t>Category</t>
  </si>
  <si>
    <t>Business %</t>
  </si>
  <si>
    <t>Amount</t>
  </si>
  <si>
    <t>Receipt?</t>
  </si>
  <si>
    <t>Office Depot</t>
  </si>
  <si>
    <t>Printer paper and supplies</t>
  </si>
  <si>
    <t>Office Supplies</t>
  </si>
  <si>
    <t>Yes</t>
  </si>
  <si>
    <t>Adobe</t>
  </si>
  <si>
    <t>Creative Suite subscription</t>
  </si>
  <si>
    <t>Equipment &amp; Software</t>
  </si>
  <si>
    <t>QuickBooks</t>
  </si>
  <si>
    <t>Accounting software monthly</t>
  </si>
  <si>
    <t>Business Lunch</t>
  </si>
  <si>
    <t>Client meeting lunch</t>
  </si>
  <si>
    <t>Meals &amp; Entertainment</t>
  </si>
  <si>
    <t>FedEx</t>
  </si>
  <si>
    <t>Shipping client documents</t>
  </si>
  <si>
    <t>Professional Services</t>
  </si>
  <si>
    <t>AT&amp;T</t>
  </si>
  <si>
    <t>Business phone bill</t>
  </si>
  <si>
    <t>Utilities (Business Portion)</t>
  </si>
  <si>
    <t>Legal Zoom</t>
  </si>
  <si>
    <t>Business formation docs</t>
  </si>
  <si>
    <t>Legal &amp; Professional Fees</t>
  </si>
  <si>
    <t>Google Ads</t>
  </si>
  <si>
    <t>Online advertising campaign</t>
  </si>
  <si>
    <t>Marketing &amp; Advertising</t>
  </si>
  <si>
    <t>Conference Registration</t>
  </si>
  <si>
    <t>Tax conference attendance</t>
  </si>
  <si>
    <t>Conference &amp; Training</t>
  </si>
  <si>
    <t>Staples</t>
  </si>
  <si>
    <t>Office chair and desk supplies</t>
  </si>
  <si>
    <t>Zoom</t>
  </si>
  <si>
    <t>Video conferencing subscription</t>
  </si>
  <si>
    <t>Business Insurance</t>
  </si>
  <si>
    <t>General liability insurance</t>
  </si>
  <si>
    <t>Insurance (Business Portion)</t>
  </si>
  <si>
    <t>Bank of America</t>
  </si>
  <si>
    <t>Business account fees</t>
  </si>
  <si>
    <t>Bank Fees</t>
  </si>
  <si>
    <t>H&amp;R Block</t>
  </si>
  <si>
    <t>Tax preparation software</t>
  </si>
  <si>
    <t>Chamber of Commerce</t>
  </si>
  <si>
    <t>Annual membership dues</t>
  </si>
  <si>
    <t>Subscriptions &amp; Memberships</t>
  </si>
  <si>
    <t>Office Space Rent</t>
  </si>
  <si>
    <t>Shared office space rental</t>
  </si>
  <si>
    <t>Rent (Business Portion)</t>
  </si>
  <si>
    <t>Client Dinner</t>
  </si>
  <si>
    <t>Business development dinner</t>
  </si>
  <si>
    <t>Microsoft</t>
  </si>
  <si>
    <t>Office 365 Business subscription</t>
  </si>
  <si>
    <t>American Express</t>
  </si>
  <si>
    <t>Business credit card annual fee</t>
  </si>
  <si>
    <t>Trade Publication</t>
  </si>
  <si>
    <t>Industry magazine subscription</t>
  </si>
  <si>
    <t>UPS Store</t>
  </si>
  <si>
    <t>Business mailbox rental</t>
  </si>
  <si>
    <t>Dell</t>
  </si>
  <si>
    <t>Business laptop computer</t>
  </si>
  <si>
    <t>Professional Association</t>
  </si>
  <si>
    <t>CPA membership renewal</t>
  </si>
  <si>
    <t>Networking Event</t>
  </si>
  <si>
    <t>Industry networking dinner</t>
  </si>
  <si>
    <t>Business Cards</t>
  </si>
  <si>
    <t>New business card printing</t>
  </si>
  <si>
    <t>Website Hosting</t>
  </si>
  <si>
    <t>Annual hosting renewal</t>
  </si>
  <si>
    <t>Tax Research</t>
  </si>
  <si>
    <t>Tax law research database</t>
  </si>
  <si>
    <t>Client Gift</t>
  </si>
  <si>
    <t>Holiday client gifts</t>
  </si>
  <si>
    <t>Other Business Expenses</t>
  </si>
  <si>
    <t>Year-End Supplies</t>
  </si>
  <si>
    <t>Office supplies for tax season</t>
  </si>
  <si>
    <t>Professional Development</t>
  </si>
  <si>
    <t>Tax update seminar</t>
  </si>
  <si>
    <t>TOTAL BUSINESS EXPENSES</t>
  </si>
  <si>
    <t>Start Location</t>
  </si>
  <si>
    <t>End Location</t>
  </si>
  <si>
    <t>Business Purpose</t>
  </si>
  <si>
    <t>Odometer Start</t>
  </si>
  <si>
    <t>Odometer End</t>
  </si>
  <si>
    <t>Miles</t>
  </si>
  <si>
    <t>Deduction</t>
  </si>
  <si>
    <t>Home Office</t>
  </si>
  <si>
    <t>Client Meeting - ABC Corp</t>
  </si>
  <si>
    <t>Client consultation</t>
  </si>
  <si>
    <t>Bank - First National</t>
  </si>
  <si>
    <t>Business banking</t>
  </si>
  <si>
    <t>Purchase supplies</t>
  </si>
  <si>
    <t>Tax Conference - Downtown</t>
  </si>
  <si>
    <t>Professional development</t>
  </si>
  <si>
    <t>Client Meeting - XYZ LLC</t>
  </si>
  <si>
    <t>Tax preparation meeting</t>
  </si>
  <si>
    <t>Attorney Office</t>
  </si>
  <si>
    <t>Legal consultation</t>
  </si>
  <si>
    <t>Business development</t>
  </si>
  <si>
    <t>Client Meeting - Small Biz Inc</t>
  </si>
  <si>
    <t>Monthly bookkeeping</t>
  </si>
  <si>
    <t>Post Office</t>
  </si>
  <si>
    <t>Mail tax documents</t>
  </si>
  <si>
    <t>IRS Office</t>
  </si>
  <si>
    <t>Client representation</t>
  </si>
  <si>
    <t>Client Meeting - Family Trust</t>
  </si>
  <si>
    <t>Estate planning review</t>
  </si>
  <si>
    <t>CPE Seminar - Hotel</t>
  </si>
  <si>
    <t>Continuing education</t>
  </si>
  <si>
    <t>Business Lunch - Restaurant</t>
  </si>
  <si>
    <t>Client development</t>
  </si>
  <si>
    <t>Office supplies</t>
  </si>
  <si>
    <t>Client Home Visit</t>
  </si>
  <si>
    <t>Tax review</t>
  </si>
  <si>
    <t>Chamber Meeting</t>
  </si>
  <si>
    <t>Networking event</t>
  </si>
  <si>
    <t>Bank Meeting</t>
  </si>
  <si>
    <t>Business loan discussion</t>
  </si>
  <si>
    <t>Client Meeting - Restaurant</t>
  </si>
  <si>
    <t>Tax planning session</t>
  </si>
  <si>
    <t>Tax Court</t>
  </si>
  <si>
    <t>Professional Conference</t>
  </si>
  <si>
    <t>Industry training</t>
  </si>
  <si>
    <t>Client Office Visit</t>
  </si>
  <si>
    <t>Quarterly review</t>
  </si>
  <si>
    <t>Software Training</t>
  </si>
  <si>
    <t>QuickBooks certification</t>
  </si>
  <si>
    <t>Client Meeting - Cafe</t>
  </si>
  <si>
    <t>Business consultation</t>
  </si>
  <si>
    <t>Tax law update</t>
  </si>
  <si>
    <t>Client Meeting - Law Office</t>
  </si>
  <si>
    <t>Joint meeting with attorney</t>
  </si>
  <si>
    <t>MILEAGE SUMMARY:</t>
  </si>
  <si>
    <t>2024 Mileage Rate:</t>
  </si>
  <si>
    <t>per mile</t>
  </si>
  <si>
    <t>Total Business Miles:</t>
  </si>
  <si>
    <t>Total Deduction:</t>
  </si>
  <si>
    <t>Average Miles per Trip:</t>
  </si>
  <si>
    <t>Trips This Year:</t>
  </si>
  <si>
    <t>FORMULAS FOR COLUMN G (Miles):</t>
  </si>
  <si>
    <t>FORMULAS FOR COLUMN H (Deduction):</t>
  </si>
  <si>
    <t>QUARTERLY TOTALS:</t>
  </si>
  <si>
    <t>Q1 (Jan-Mar):</t>
  </si>
  <si>
    <t>&gt;=&amp;DATE(2024</t>
  </si>
  <si>
    <t>1)</t>
  </si>
  <si>
    <t>&lt;&amp;DATE(2024</t>
  </si>
  <si>
    <t>1))</t>
  </si>
  <si>
    <t>Q2 (Apr-Jun):</t>
  </si>
  <si>
    <t>Q3 (Jul-Sep):</t>
  </si>
  <si>
    <t>Q4 (Oct-Dec):</t>
  </si>
  <si>
    <t>Taxpayer Name:</t>
  </si>
  <si>
    <t>SSN/EIN:</t>
  </si>
  <si>
    <t>Filing Status:</t>
  </si>
  <si>
    <t>YEAR-TO-DATE SUMMARY</t>
  </si>
  <si>
    <t>CATEGORY BREAKDOWN</t>
  </si>
  <si>
    <t>Total Business Expenses</t>
  </si>
  <si>
    <t>Business Expenses</t>
  </si>
  <si>
    <t>Total Home Office</t>
  </si>
  <si>
    <t>Vehicle &amp; Travel</t>
  </si>
  <si>
    <t>TOTAL DEDUCTIONS</t>
  </si>
  <si>
    <t>Medical &amp; Health</t>
  </si>
  <si>
    <t>Receipt Status</t>
  </si>
  <si>
    <t>Charitable</t>
  </si>
  <si>
    <t>Investment &amp; Financial</t>
  </si>
  <si>
    <t>MONTHLY BREAKDOWN</t>
  </si>
  <si>
    <t>Month</t>
  </si>
  <si>
    <t>Business</t>
  </si>
  <si>
    <t>Vehicle</t>
  </si>
  <si>
    <t>Medical</t>
  </si>
  <si>
    <t>Total</t>
  </si>
  <si>
    <t>Jan</t>
  </si>
  <si>
    <t>'Business Expenses'!A:A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</si>
  <si>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</si>
  <si>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</si>
  <si>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</si>
  <si>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</si>
  <si>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</si>
  <si>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</si>
  <si>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</si>
  <si>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</si>
  <si>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</si>
  <si>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</si>
  <si>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</si>
  <si>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HOME OFFICE DEDUCTION CALCULATOR</t>
  </si>
  <si>
    <t>Method:</t>
  </si>
  <si>
    <t>Simplified</t>
  </si>
  <si>
    <t>Actual Expense</t>
  </si>
  <si>
    <t>SIMPLIFIED METHOD:</t>
  </si>
  <si>
    <t>Home Office Square Feet:</t>
  </si>
  <si>
    <t>Rate per Sq Ft:</t>
  </si>
  <si>
    <t>Maximum Deduction:</t>
  </si>
  <si>
    <t>Calculated Deduction:</t>
  </si>
  <si>
    <t>ACTUAL EXPENSE METHOD:</t>
  </si>
  <si>
    <t>Total Home Square Feet:</t>
  </si>
  <si>
    <t>Office Square Feet:</t>
  </si>
  <si>
    <t>Business Use Percentage:</t>
  </si>
  <si>
    <t>Expense Type</t>
  </si>
  <si>
    <t>Total Amount</t>
  </si>
  <si>
    <t>Deductible Amount</t>
  </si>
  <si>
    <t>Mortgage Interest</t>
  </si>
  <si>
    <t>Property Taxes</t>
  </si>
  <si>
    <t>Homeowners Insurance</t>
  </si>
  <si>
    <t>Utilities - Electric</t>
  </si>
  <si>
    <t>Utilities - Gas</t>
  </si>
  <si>
    <t>Utilities - Internet</t>
  </si>
  <si>
    <t>Home Repairs - Roof</t>
  </si>
  <si>
    <t>Maintenance - HVAC</t>
  </si>
  <si>
    <t>Security System</t>
  </si>
  <si>
    <t>Cleaning Service</t>
  </si>
  <si>
    <t>COMPARISON:</t>
  </si>
  <si>
    <t>Simplified Method:</t>
  </si>
  <si>
    <t>Actual Expense Method:</t>
  </si>
  <si>
    <t>RECOMMENDED:</t>
  </si>
  <si>
    <t>TOTAL HOME OFFICE DEDUCTION:</t>
  </si>
  <si>
    <t>Destination/Purpose</t>
  </si>
  <si>
    <t>Method</t>
  </si>
  <si>
    <t>Standard Mileage</t>
  </si>
  <si>
    <t>Bank - Business Banking</t>
  </si>
  <si>
    <t>Gas for Business Travel</t>
  </si>
  <si>
    <t>Hotel - Tax Conference</t>
  </si>
  <si>
    <t>Lodging</t>
  </si>
  <si>
    <t>Parking - Attorney Office</t>
  </si>
  <si>
    <t>Parking</t>
  </si>
  <si>
    <t>Business Lunch Travel</t>
  </si>
  <si>
    <t>Uber to Airport</t>
  </si>
  <si>
    <t>Transportation</t>
  </si>
  <si>
    <t>Flight - Tax Conference</t>
  </si>
  <si>
    <t>Airfare</t>
  </si>
  <si>
    <t>Car Maintenance</t>
  </si>
  <si>
    <t>Taxi from Hotel</t>
  </si>
  <si>
    <t>Business Lunch Location</t>
  </si>
  <si>
    <t>Oil Change</t>
  </si>
  <si>
    <t>Client Site Visit</t>
  </si>
  <si>
    <t>Tolls - Highway</t>
  </si>
  <si>
    <t>Tolls</t>
  </si>
  <si>
    <t>Business Meeting</t>
  </si>
  <si>
    <t>Restaurant - Client Meeting</t>
  </si>
  <si>
    <t>Court Appearance</t>
  </si>
  <si>
    <t>Conference Travel</t>
  </si>
  <si>
    <t>Quarterly Client Visit</t>
  </si>
  <si>
    <t>Training Location</t>
  </si>
  <si>
    <t>Client Coffee Meeting</t>
  </si>
  <si>
    <t>Joint Client Meeting</t>
  </si>
  <si>
    <t>VEHICLE &amp; TRAVEL SUMMARY:</t>
  </si>
  <si>
    <t>2024 Standard Mileage Rate:</t>
  </si>
  <si>
    <t>Standard Mileage Deduction:</t>
  </si>
  <si>
    <t>Total Actual Vehicle Expenses:</t>
  </si>
  <si>
    <t>Total Other Travel Expenses:</t>
  </si>
  <si>
    <t>TOTAL VEHICLE &amp; TRAVEL DEDUCTION:</t>
  </si>
  <si>
    <t>EXPENSE TYPE BREAKDOWN:</t>
  </si>
  <si>
    <t>Vehicle Expenses:</t>
  </si>
  <si>
    <t>Lodging:</t>
  </si>
  <si>
    <t>Airfare:</t>
  </si>
  <si>
    <t>Transportation:</t>
  </si>
  <si>
    <t>Parking:</t>
  </si>
  <si>
    <t>Tolls:</t>
  </si>
  <si>
    <t>Type</t>
  </si>
  <si>
    <t>CPA Society</t>
  </si>
  <si>
    <t>QUARTERLY BREAKDOWN:</t>
  </si>
  <si>
    <t>Provider/Description</t>
  </si>
  <si>
    <t>Amount Paid</t>
  </si>
  <si>
    <t>Insurance Reimbursement</t>
  </si>
  <si>
    <t>Out-of-Pocket</t>
  </si>
  <si>
    <t>Dr. Smith - Annual Physical</t>
  </si>
  <si>
    <t>Doctor Visits</t>
  </si>
  <si>
    <t>Prescription - Blood Pressure</t>
  </si>
  <si>
    <t>Prescriptions</t>
  </si>
  <si>
    <t>Dental Cleaning</t>
  </si>
  <si>
    <t>Dental</t>
  </si>
  <si>
    <t>Eye Exam</t>
  </si>
  <si>
    <t>Vision</t>
  </si>
  <si>
    <t>Physical Therapy</t>
  </si>
  <si>
    <t>Medical Services</t>
  </si>
  <si>
    <t>MRI Scan</t>
  </si>
  <si>
    <t>Medical Equipment</t>
  </si>
  <si>
    <t>Prescription - Allergy</t>
  </si>
  <si>
    <t>Chiropractor Visit</t>
  </si>
  <si>
    <t>Alternative Medicine</t>
  </si>
  <si>
    <t>Blood Work</t>
  </si>
  <si>
    <t>Lab Tests</t>
  </si>
  <si>
    <t>Prescription - Antibiotics</t>
  </si>
  <si>
    <t>Specialist Consultation</t>
  </si>
  <si>
    <t>Contact Lenses</t>
  </si>
  <si>
    <t>Urgent Care Visit</t>
  </si>
  <si>
    <t>Prescription - Pain Relief</t>
  </si>
  <si>
    <t>Dental Work - Crown</t>
  </si>
  <si>
    <t>Therapist Session</t>
  </si>
  <si>
    <t>Mental Health</t>
  </si>
  <si>
    <t>Flu Shot</t>
  </si>
  <si>
    <t>Preventive Care</t>
  </si>
  <si>
    <t>Prescription - Vitamins</t>
  </si>
  <si>
    <t>Mammogram</t>
  </si>
  <si>
    <t>Prescription - Seasonal</t>
  </si>
  <si>
    <t>Dermatologist Visit</t>
  </si>
  <si>
    <t>Prescription - Maintenance</t>
  </si>
  <si>
    <t>Year-End Dental Cleaning</t>
  </si>
  <si>
    <t>MEDICAL EXPENSE SUMMARY:</t>
  </si>
  <si>
    <t>Total Medical Expenses:</t>
  </si>
  <si>
    <t>Total Insurance Reimbursements:</t>
  </si>
  <si>
    <t>Total Out-of-Pocket:</t>
  </si>
  <si>
    <t>AGI THRESHOLD CALCULATION:</t>
  </si>
  <si>
    <t>Enter Your AGI:</t>
  </si>
  <si>
    <t>7.5% AGI Threshold:</t>
  </si>
  <si>
    <t>Deductible Medical Expenses:</t>
  </si>
  <si>
    <t>Doctor Visits:</t>
  </si>
  <si>
    <t>Prescriptions:</t>
  </si>
  <si>
    <t>Dental:</t>
  </si>
  <si>
    <t>Vision:</t>
  </si>
  <si>
    <t>Medical Services:</t>
  </si>
  <si>
    <t>Medical Equipment:</t>
  </si>
  <si>
    <t>Mental Health:</t>
  </si>
  <si>
    <t>Alternative Medicine:</t>
  </si>
  <si>
    <t>Lab Tests:</t>
  </si>
  <si>
    <t>Preventive Care:</t>
  </si>
  <si>
    <t>HEALTH INSURANCE PREMIUMS:</t>
  </si>
  <si>
    <t>(Enter separately - may be deductible)</t>
  </si>
  <si>
    <t>Monthly Premium:</t>
  </si>
  <si>
    <t>Annual Premium:</t>
  </si>
  <si>
    <t>Self-Employed Health Insurance:</t>
  </si>
  <si>
    <t>Q1 Out-of-Pocket:</t>
  </si>
  <si>
    <t>Q2 Out-of-Pocket:</t>
  </si>
  <si>
    <t>Q3 Out-of-Pocket:</t>
  </si>
  <si>
    <t>Q4 Out-of-Pocket:</t>
  </si>
  <si>
    <t>Organization</t>
  </si>
  <si>
    <t>Amount/Value</t>
  </si>
  <si>
    <t>United Way</t>
  </si>
  <si>
    <t>Cash Donation</t>
  </si>
  <si>
    <t>Check</t>
  </si>
  <si>
    <t>Annual workplace campaign</t>
  </si>
  <si>
    <t>Local Food Bank</t>
  </si>
  <si>
    <t>Non-Cash Donation</t>
  </si>
  <si>
    <t>Property</t>
  </si>
  <si>
    <t>Clothing and household items</t>
  </si>
  <si>
    <t>Church</t>
  </si>
  <si>
    <t>Cash</t>
  </si>
  <si>
    <t>Weekly offering - February</t>
  </si>
  <si>
    <t>Red Cross</t>
  </si>
  <si>
    <t>Credit Card</t>
  </si>
  <si>
    <t>Valentine's Day donation</t>
  </si>
  <si>
    <t>Habitat for Humanity</t>
  </si>
  <si>
    <t>Volunteer Mileage</t>
  </si>
  <si>
    <t>Mileage</t>
  </si>
  <si>
    <t>25 miles @ $0.14/mile construction help</t>
  </si>
  <si>
    <t>Weekly offering - March</t>
  </si>
  <si>
    <t>Scholarship Fund</t>
  </si>
  <si>
    <t>Local student scholarship</t>
  </si>
  <si>
    <t>Animal Shelter</t>
  </si>
  <si>
    <t>Pet supplies and blankets</t>
  </si>
  <si>
    <t>Weekly offering - April</t>
  </si>
  <si>
    <t>Disaster Relief Fund</t>
  </si>
  <si>
    <t>Tornado relief donation</t>
  </si>
  <si>
    <t>Weekly offering - May</t>
  </si>
  <si>
    <t>Library Foundation</t>
  </si>
  <si>
    <t>Annual book drive support</t>
  </si>
  <si>
    <t>Youth Sports League</t>
  </si>
  <si>
    <t>Sponsorship of local team</t>
  </si>
  <si>
    <t>Weekly offering - June</t>
  </si>
  <si>
    <t>Veterans Organization</t>
  </si>
  <si>
    <t>4th of July donation</t>
  </si>
  <si>
    <t>Weekly offering - July</t>
  </si>
  <si>
    <t>School Supply Drive</t>
  </si>
  <si>
    <t>Back-to-school supplies</t>
  </si>
  <si>
    <t>Weekly offering - August</t>
  </si>
  <si>
    <t>Hurricane Relief</t>
  </si>
  <si>
    <t>Emergency disaster relief</t>
  </si>
  <si>
    <t>Weekly offering - September</t>
  </si>
  <si>
    <t>Cancer Research</t>
  </si>
  <si>
    <t>Annual fundraising walk</t>
  </si>
  <si>
    <t>Weekly offering - October</t>
  </si>
  <si>
    <t>Food Bank</t>
  </si>
  <si>
    <t>15 miles @ $0.14/mile food sorting</t>
  </si>
  <si>
    <t>Weekly offering - November</t>
  </si>
  <si>
    <t>Toys for Tots</t>
  </si>
  <si>
    <t>Christmas toys for children</t>
  </si>
  <si>
    <t>Christmas offering</t>
  </si>
  <si>
    <t>CHARITABLE CONTRIBUTION SUMMARY:</t>
  </si>
  <si>
    <t>Total Cash Donations:</t>
  </si>
  <si>
    <t>Total Non-Cash Donations:</t>
  </si>
  <si>
    <t>Total Volunteer Mileage:</t>
  </si>
  <si>
    <t>TOTAL CHARITABLE CONTRIBUTIONS:</t>
  </si>
  <si>
    <t>AGI LIMITS CALCULATION:</t>
  </si>
  <si>
    <t>Cash Contribution Limit (60%):</t>
  </si>
  <si>
    <t>Property Contribution Limit (30%):</t>
  </si>
  <si>
    <t>DEDUCTIBILITY ANALYSIS:</t>
  </si>
  <si>
    <t>Cash Donations This Year:</t>
  </si>
  <si>
    <t>Within Cash Limit?:</t>
  </si>
  <si>
    <t>Property Donations This Year:</t>
  </si>
  <si>
    <t>Within Property Limit?:</t>
  </si>
  <si>
    <t>ALLOWABLE DEDUCTION THIS YEAR:</t>
  </si>
  <si>
    <t>DONATION METHOD BREAKDOWN:</t>
  </si>
  <si>
    <t>Cash:</t>
  </si>
  <si>
    <t>Check:</t>
  </si>
  <si>
    <t>Credit Card:</t>
  </si>
  <si>
    <t>Property:</t>
  </si>
  <si>
    <t>Mileage:</t>
  </si>
  <si>
    <t>Q1 Donations:</t>
  </si>
  <si>
    <t>Q2 Donations:</t>
  </si>
  <si>
    <t>Q3 Donations:</t>
  </si>
  <si>
    <t>Q4 Donations:</t>
  </si>
  <si>
    <t>RECEIPT STATUS CHECK:</t>
  </si>
  <si>
    <t>Total Donations:</t>
  </si>
  <si>
    <t>Receipts on File:</t>
  </si>
  <si>
    <t>Missing Receipts:</t>
  </si>
  <si>
    <t>Receipt Compliance:</t>
  </si>
  <si>
    <t>Institution/Advisor</t>
  </si>
  <si>
    <t>Edward Jones</t>
  </si>
  <si>
    <t>Investment Advisory Fees</t>
  </si>
  <si>
    <t>Annual portfolio management fee</t>
  </si>
  <si>
    <t>Tax Preparation Fees</t>
  </si>
  <si>
    <t>2023 tax return preparation</t>
  </si>
  <si>
    <t>Wells Fargo</t>
  </si>
  <si>
    <t>Safe Deposit Box</t>
  </si>
  <si>
    <t>Annual safe deposit box rental</t>
  </si>
  <si>
    <t>Financial Planning Associates</t>
  </si>
  <si>
    <t>Quarterly financial planning</t>
  </si>
  <si>
    <t>Morningstar</t>
  </si>
  <si>
    <t>Investment Publications</t>
  </si>
  <si>
    <t>Annual premium subscription</t>
  </si>
  <si>
    <t>TurboTax</t>
  </si>
  <si>
    <t>Tax Preparation Software</t>
  </si>
  <si>
    <t>Professional tax software</t>
  </si>
  <si>
    <t>Charles Schwab</t>
  </si>
  <si>
    <t>Brokerage account fees</t>
  </si>
  <si>
    <t>Estate Attorney</t>
  </si>
  <si>
    <t>Legal Fees (Investment)</t>
  </si>
  <si>
    <t>Investment trust legal work</t>
  </si>
  <si>
    <t>Barron's</t>
  </si>
  <si>
    <t>Annual magazine subscription</t>
  </si>
  <si>
    <t>Quicken</t>
  </si>
  <si>
    <t>Financial Software</t>
  </si>
  <si>
    <t>Personal finance software</t>
  </si>
  <si>
    <t>Investment News</t>
  </si>
  <si>
    <t>Professional publication</t>
  </si>
  <si>
    <t>Fidelity</t>
  </si>
  <si>
    <t>401k management fee</t>
  </si>
  <si>
    <t>Tax Attorney</t>
  </si>
  <si>
    <t>IRS audit representation</t>
  </si>
  <si>
    <t>Bloomberg Terminal</t>
  </si>
  <si>
    <t>Investment Research</t>
  </si>
  <si>
    <t>Professional research access</t>
  </si>
  <si>
    <t>Financial Advisor</t>
  </si>
  <si>
    <t>Investment consultation</t>
  </si>
  <si>
    <t>Kiplinger's</t>
  </si>
  <si>
    <t>Personal finance magazine</t>
  </si>
  <si>
    <t>E*TRADE</t>
  </si>
  <si>
    <t>Trading platform fees</t>
  </si>
  <si>
    <t>CPA Firm</t>
  </si>
  <si>
    <t>Quarterly tax planning</t>
  </si>
  <si>
    <t>Value Line</t>
  </si>
  <si>
    <t>Investment research service</t>
  </si>
  <si>
    <t>Bank Safe Deposit</t>
  </si>
  <si>
    <t>Additional box rental</t>
  </si>
  <si>
    <t>Investment Advisor</t>
  </si>
  <si>
    <t>Year-end portfolio review</t>
  </si>
  <si>
    <t>TaxAct</t>
  </si>
  <si>
    <t>Backup tax software</t>
  </si>
  <si>
    <t>Financial Planner</t>
  </si>
  <si>
    <t>Retirement planning session</t>
  </si>
  <si>
    <t>INVESTMENT &amp; FINANCIAL SUMMARY:</t>
  </si>
  <si>
    <t>Investment Advisory Fees:</t>
  </si>
  <si>
    <t>Tax Preparation Fees:</t>
  </si>
  <si>
    <t>Safe Deposit Box:</t>
  </si>
  <si>
    <t>Legal Fees (Investment):</t>
  </si>
  <si>
    <t>Investment Publications:</t>
  </si>
  <si>
    <t>Financial Software:</t>
  </si>
  <si>
    <t>Investment Research:</t>
  </si>
  <si>
    <t>Tax Preparation Software:</t>
  </si>
  <si>
    <t>TOTAL INVESTMENT &amp; FINANCIAL:</t>
  </si>
  <si>
    <t>DEDUCTIBILITY NOTES:</t>
  </si>
  <si>
    <t>Limited deductibility - consult tax professional</t>
  </si>
  <si>
    <t>Generally deductible for business/investment</t>
  </si>
  <si>
    <t>Deductible if used for investment documents</t>
  </si>
  <si>
    <t>Legal Fees:</t>
  </si>
  <si>
    <t>Deductible if related to investment advice</t>
  </si>
  <si>
    <t>MAJOR EXPENSES (&gt;$500):</t>
  </si>
  <si>
    <t>Count of Large Expenses:</t>
  </si>
  <si>
    <t>Total Large Expenses:</t>
  </si>
  <si>
    <t>Percentage of Total:</t>
  </si>
  <si>
    <t>TAX PLANNING NOTES:</t>
  </si>
  <si>
    <t>1. Investment advisory fees subject to 2% AGI floor (pre-2018)</t>
  </si>
  <si>
    <t>2. Tax preparation fees may be deductible for business</t>
  </si>
  <si>
    <t>3. Keep detailed records of investment-related expenses</t>
  </si>
  <si>
    <t>4. Consider timing of expenses for tax optimization</t>
  </si>
  <si>
    <t>5. Consult E&amp;N Tax &amp; Accounting for complex situations</t>
  </si>
  <si>
    <t>Vendor</t>
  </si>
  <si>
    <t>Receipt Location</t>
  </si>
  <si>
    <t>Notes</t>
  </si>
  <si>
    <t>Digital Scan</t>
  </si>
  <si>
    <t>Gas Station</t>
  </si>
  <si>
    <t>Vehicle Expenses</t>
  </si>
  <si>
    <t>Physical Receipt</t>
  </si>
  <si>
    <t>Business travel fuel</t>
  </si>
  <si>
    <t>Email Receipt</t>
  </si>
  <si>
    <t>Conference Hotel</t>
  </si>
  <si>
    <t>Travel</t>
  </si>
  <si>
    <t>Tax conference lodging</t>
  </si>
  <si>
    <t>App Receipt</t>
  </si>
  <si>
    <t>Accounting software</t>
  </si>
  <si>
    <t>Parking Meter</t>
  </si>
  <si>
    <t>Lost Receipt</t>
  </si>
  <si>
    <t>Attorney office parking</t>
  </si>
  <si>
    <t>Restaurant</t>
  </si>
  <si>
    <t>Client lunch meeting</t>
  </si>
  <si>
    <t>Shipping documents</t>
  </si>
  <si>
    <t>Business formation</t>
  </si>
  <si>
    <t>Online advertising</t>
  </si>
  <si>
    <t>Tax Conference</t>
  </si>
  <si>
    <t>CPE conference</t>
  </si>
  <si>
    <t>Office furniture</t>
  </si>
  <si>
    <t>Auto Shop</t>
  </si>
  <si>
    <t>Oil change</t>
  </si>
  <si>
    <t>Client Lunch</t>
  </si>
  <si>
    <t>Video conferencing</t>
  </si>
  <si>
    <t>Insurance Co</t>
  </si>
  <si>
    <t>Liability insurance</t>
  </si>
  <si>
    <t>Bank</t>
  </si>
  <si>
    <t>Account fees</t>
  </si>
  <si>
    <t>Court Filing</t>
  </si>
  <si>
    <t>Legal Expenses</t>
  </si>
  <si>
    <t>Tax Preparation</t>
  </si>
  <si>
    <t>Tax software</t>
  </si>
  <si>
    <t>Chamber</t>
  </si>
  <si>
    <t>Membership dues</t>
  </si>
  <si>
    <t>Office Rent</t>
  </si>
  <si>
    <t>Shared workspace</t>
  </si>
  <si>
    <t>Office 365</t>
  </si>
  <si>
    <t>Annual fee</t>
  </si>
  <si>
    <t>Magazine</t>
  </si>
  <si>
    <t>Industry publication</t>
  </si>
  <si>
    <t>Mailbox rental</t>
  </si>
  <si>
    <t>Dell Computer</t>
  </si>
  <si>
    <t>Business laptop</t>
  </si>
  <si>
    <t>Membership renewal</t>
  </si>
  <si>
    <t>Networking</t>
  </si>
  <si>
    <t>Industry dinner</t>
  </si>
  <si>
    <t>Print Shop</t>
  </si>
  <si>
    <t>Business cards</t>
  </si>
  <si>
    <t>Web Host</t>
  </si>
  <si>
    <t>Website hosting</t>
  </si>
  <si>
    <t>Research database</t>
  </si>
  <si>
    <t>Client Gifts</t>
  </si>
  <si>
    <t>Holiday gifts</t>
  </si>
  <si>
    <t>Tax season prep</t>
  </si>
  <si>
    <t>Tax Seminar</t>
  </si>
  <si>
    <t>Year-end update</t>
  </si>
  <si>
    <t>Total Receipts Recorded:</t>
  </si>
  <si>
    <t>Digital Receipts:</t>
  </si>
  <si>
    <t>Physical Receipts:</t>
  </si>
  <si>
    <t>Lost Receipts:</t>
  </si>
  <si>
    <t>RECEIPT COMPLIANCE:</t>
  </si>
  <si>
    <t>Filing Rate:</t>
  </si>
  <si>
    <t>Compliance Status:</t>
  </si>
  <si>
    <t>Action Needed:</t>
  </si>
  <si>
    <t>RECEIPT LOCATION BREAKDOWN:</t>
  </si>
  <si>
    <t>Digital Scan:</t>
  </si>
  <si>
    <t>Email Receipt:</t>
  </si>
  <si>
    <t>Physical Receipt:</t>
  </si>
  <si>
    <t>App Receipt:</t>
  </si>
  <si>
    <t>Lost Receipt:</t>
  </si>
  <si>
    <t>RECEIPT BACKUP STRATEGY:</t>
  </si>
  <si>
    <t>1. Scan or photograph all receipts immediately</t>
  </si>
  <si>
    <t>2. Store digital copies in cloud backup</t>
  </si>
  <si>
    <t>3. Keep physical receipts in organized monthly folders</t>
  </si>
  <si>
    <t>4. Email receipts forwarded to dedicated email folder</t>
  </si>
  <si>
    <t>5. Use receipt scanning apps for immediate capture</t>
  </si>
  <si>
    <t>6. Contact vendors immediately for missing receipts</t>
  </si>
  <si>
    <t>YEAR-END TAX SUMMARY - 2024</t>
  </si>
  <si>
    <t>E&amp;N Tax &amp; Accounting - Ultimate Tax Deduction Tracker</t>
  </si>
  <si>
    <t>TAXPAYER INFORMATION:</t>
  </si>
  <si>
    <t>Name:</t>
  </si>
  <si>
    <t>[Enter from Dashboard]</t>
  </si>
  <si>
    <t>Tax Preparer:</t>
  </si>
  <si>
    <t>E&amp;N Tax &amp; Accounting</t>
  </si>
  <si>
    <t>SCHEDULE A - ITEMIZED DEDUCTIONS:</t>
  </si>
  <si>
    <t>Medical &amp; Dental Expenses:</t>
  </si>
  <si>
    <t>Above 7.5% AGI threshold</t>
  </si>
  <si>
    <t>State &amp; Local Taxes:</t>
  </si>
  <si>
    <t>Enter manually from records</t>
  </si>
  <si>
    <t>Mortgage Interest:</t>
  </si>
  <si>
    <t>Enter from 1098 forms</t>
  </si>
  <si>
    <t>Charitable Contributions:</t>
  </si>
  <si>
    <t>Within AGI limits</t>
  </si>
  <si>
    <t>Miscellaneous (2% AGI):</t>
  </si>
  <si>
    <t>Limited deductibility</t>
  </si>
  <si>
    <t>TOTAL ITEMIZED DEDUCTIONS:</t>
  </si>
  <si>
    <t>Standard Deduction (2024):</t>
  </si>
  <si>
    <t>Single filer amount</t>
  </si>
  <si>
    <t>RECOMMENDED DEDUCTION:</t>
  </si>
  <si>
    <t>Take higher amount</t>
  </si>
  <si>
    <t>SCHEDULE C - BUSINESS DEDUCTIONS:</t>
  </si>
  <si>
    <t>Business Expenses:</t>
  </si>
  <si>
    <t>Home Office Deduction:</t>
  </si>
  <si>
    <t>Best method selected</t>
  </si>
  <si>
    <t>Vehicle &amp; Travel:</t>
  </si>
  <si>
    <t>Investment &amp; Financial:</t>
  </si>
  <si>
    <t>TOTAL BUSINESS DEDUCTIONS:</t>
  </si>
  <si>
    <t>BUSINESS INCOME CALCULATION:</t>
  </si>
  <si>
    <t>Gross Business Income:</t>
  </si>
  <si>
    <t>Enter total business income</t>
  </si>
  <si>
    <t>Less: Total Business Deductions:</t>
  </si>
  <si>
    <t>NET BUSINESS INCOME:</t>
  </si>
  <si>
    <t>Schedule C Line 31</t>
  </si>
  <si>
    <t>ESTIMATED TAX CALCULATIONS:</t>
  </si>
  <si>
    <t>Net Business Income (Schedule C):</t>
  </si>
  <si>
    <t>Other Income:</t>
  </si>
  <si>
    <t>TOTAL INCOME:</t>
  </si>
  <si>
    <t>Less: Standard/Itemized Deduction:</t>
  </si>
  <si>
    <t>TAXABLE INCOME:</t>
  </si>
  <si>
    <t>TAX SAVINGS ANALYSIS:</t>
  </si>
  <si>
    <t>Total Deductions Tracked:</t>
  </si>
  <si>
    <t>Estimated Tax Bracket:</t>
  </si>
  <si>
    <t>Enter your bracket</t>
  </si>
  <si>
    <t>Federal Tax Savings:</t>
  </si>
  <si>
    <t>State Tax Savings (estimated):</t>
  </si>
  <si>
    <t>TOTAL ESTIMATED SAVINGS:</t>
  </si>
  <si>
    <t>QUARTERLY ESTIMATED TAXES:</t>
  </si>
  <si>
    <t>2024 Tax Liability (estimated):</t>
  </si>
  <si>
    <t>Less: Withholding/Payments:</t>
  </si>
  <si>
    <t>Enter actual amounts</t>
  </si>
  <si>
    <t>BALANCE DUE/(REFUND):</t>
  </si>
  <si>
    <t>2025 Q1 Payment Due:</t>
  </si>
  <si>
    <t>Due 1/15/2025</t>
  </si>
  <si>
    <t>DEPRECIATION SUMMARY:</t>
  </si>
  <si>
    <t>Business Equipment:</t>
  </si>
  <si>
    <t>Enter from depreciation schedules</t>
  </si>
  <si>
    <t>Vehicle Depreciation:</t>
  </si>
  <si>
    <t>If using actual expense method</t>
  </si>
  <si>
    <t>Home Office Depreciation:</t>
  </si>
  <si>
    <t>TOTAL DEPRECIATION:</t>
  </si>
  <si>
    <t>CARRYOVER ITEMS:</t>
  </si>
  <si>
    <t>Charitable Contribution Carryover:</t>
  </si>
  <si>
    <t>Excess over AGI limits</t>
  </si>
  <si>
    <t>Net Operating Loss:</t>
  </si>
  <si>
    <t>From prior years</t>
  </si>
  <si>
    <t>Capital Loss Carryover:</t>
  </si>
  <si>
    <t>From investment sales</t>
  </si>
  <si>
    <t>RECORDKEEPING SUMMARY:</t>
  </si>
  <si>
    <t>Total Receipts Required:</t>
  </si>
  <si>
    <t>Compliance Rate:</t>
  </si>
  <si>
    <t>Action Items:</t>
  </si>
  <si>
    <t>TAX PREPARATION CHECKLIST:</t>
  </si>
  <si>
    <t>‚òê Gather all income documents (W-2s 1099s)</t>
  </si>
  <si>
    <t>‚òê Compile business income records</t>
  </si>
  <si>
    <t>‚òê Organize all deduction receipts</t>
  </si>
  <si>
    <t>‚òê Review this summary for accuracy</t>
  </si>
  <si>
    <t>‚òê Schedule appointment with E&amp;N Tax</t>
  </si>
  <si>
    <t>‚òê Bring completed organizer to appointment</t>
  </si>
  <si>
    <t>IMPORTANT TAX DATES - 2025:</t>
  </si>
  <si>
    <t>Individual Tax Return Due:</t>
  </si>
  <si>
    <t>Q1 Estimated Payment Due:</t>
  </si>
  <si>
    <t>Q2 Estimated Payment Due:</t>
  </si>
  <si>
    <t>Extension Deadline:</t>
  </si>
  <si>
    <t>If filing extension</t>
  </si>
  <si>
    <t>MONTHLY DEDUCTION SUMMARY:</t>
  </si>
  <si>
    <t>January</t>
  </si>
  <si>
    <t>=SUMIFS('Home Office'!E:E</t>
  </si>
  <si>
    <t>'Home Office'!A:A</t>
  </si>
  <si>
    <t>=SUMIFS('Vehicle &amp; Travel'!G:G</t>
  </si>
  <si>
    <t>'Vehicle &amp; Travel'!A:A</t>
  </si>
  <si>
    <t>=SUMIFS('Medical &amp; Health'!F:F</t>
  </si>
  <si>
    <t>'Medical &amp; Health'!A:A</t>
  </si>
  <si>
    <t>=SUMIFS('Charitable Contributions'!E:E</t>
  </si>
  <si>
    <t>'Charitable Contributions'!A:A</t>
  </si>
  <si>
    <t>February</t>
  </si>
  <si>
    <t>March</t>
  </si>
  <si>
    <t>FINAL SUMMARY FOR TAX PREPARER:</t>
  </si>
  <si>
    <t>Total Business Deductions:</t>
  </si>
  <si>
    <t>Total Personal Deductions:</t>
  </si>
  <si>
    <t>Total Mileage Claimed:</t>
  </si>
  <si>
    <t>Missing Documentation:</t>
  </si>
  <si>
    <t>receipts</t>
  </si>
  <si>
    <t>Contact E&amp;N Tax &amp; Accounting</t>
  </si>
  <si>
    <t>This tracker is for organizational purposes only</t>
  </si>
  <si>
    <t>Professional tax advice recommended</t>
  </si>
  <si>
    <t>E&amp;N Tax &amp; Accounting available for consultation</t>
  </si>
  <si>
    <t>Always consult current tax law for final decisions</t>
  </si>
  <si>
    <t>ULTIMATE TAX DEDUCTION TRACKER - INSTRUCTIONS &amp; TIPS</t>
  </si>
  <si>
    <t>E&amp;N Tax &amp; Accounting Professional Edition</t>
  </si>
  <si>
    <t>WELCOME TO YOUR TAX TRACKER!</t>
  </si>
  <si>
    <t>Thank you for choosing E&amp;N Tax &amp; Accounting's Ultimate Tax Deduction Tracker!</t>
  </si>
  <si>
    <t>This professional-grade system will help you maximize deductions and</t>
  </si>
  <si>
    <t>stay organized throughout the year.</t>
  </si>
  <si>
    <t>GETTING STARTED - SETUP CHECKLIST:</t>
  </si>
  <si>
    <t>DAILY USAGE BEST PRACTICES:</t>
  </si>
  <si>
    <t>IMMEDIATE ENTRY:</t>
  </si>
  <si>
    <t>RECEIPT MANAGEMENT:</t>
  </si>
  <si>
    <t>BUSINESS PERCENTAGE:</t>
  </si>
  <si>
    <t>UNDERSTANDING EACH WORKSHEET:</t>
  </si>
  <si>
    <t>DASHBOARD:</t>
  </si>
  <si>
    <t>Your control center showing real-time totals from all categories.</t>
  </si>
  <si>
    <t>Review monthly to track deduction accumulation.</t>
  </si>
  <si>
    <t>BUSINESS EXPENSES:</t>
  </si>
  <si>
    <t>Track all ordinary and necessary business expenses.</t>
  </si>
  <si>
    <t>Use IRS-approved categories for proper classification.</t>
  </si>
  <si>
    <t>Remember: Must be both ordinary AND necessary.</t>
  </si>
  <si>
    <t>HOME OFFICE:</t>
  </si>
  <si>
    <t>Choose between Simplified Method ($5/sq ft) or Actual Expense.</t>
  </si>
  <si>
    <t>Office must be used REGULARLY and EXCLUSIVELY for business.</t>
  </si>
  <si>
    <t>The calculator automatically recommends the better method.</t>
  </si>
  <si>
    <t>VEHICLE &amp; TRAVEL:</t>
  </si>
  <si>
    <t>Standard Mileage: $0.67/mile for 2024 business use.</t>
  </si>
  <si>
    <t>Actual Expenses: Gas insurance repairs maintenance.</t>
  </si>
  <si>
    <t>Cannot switch methods mid-year for the same vehicle.</t>
  </si>
  <si>
    <t>Keep detailed mileage logs with business purpose.</t>
  </si>
  <si>
    <t>MILEAGE LOG:</t>
  </si>
  <si>
    <t>Record every business trip with:</t>
  </si>
  <si>
    <t>IRS requires contemporaneous records!</t>
  </si>
  <si>
    <t>PROFESSIONAL DEVELOPMENT:</t>
  </si>
  <si>
    <t>Continuing education courses certifications conferences.</t>
  </si>
  <si>
    <t>Must be related to maintaining/improving job skills.</t>
  </si>
  <si>
    <t>Keep certificates and course descriptions.</t>
  </si>
  <si>
    <t>MEDICAL &amp; HEALTH:</t>
  </si>
  <si>
    <t>Only deductible above 7.5% of AGI threshold.</t>
  </si>
  <si>
    <t>Track insurance reimbursements separately.</t>
  </si>
  <si>
    <t>Health Savings Account contributions may be deductible.</t>
  </si>
  <si>
    <t>Self-employed may deduct health insurance premiums.</t>
  </si>
  <si>
    <t>CHARITABLE CONTRIBUTIONS:</t>
  </si>
  <si>
    <t>Cash donations limited to 60% of AGI.</t>
  </si>
  <si>
    <t>Property donations limited to 30% of AGI.</t>
  </si>
  <si>
    <t>Volunteer mileage: $0.14/mile for 2024.</t>
  </si>
  <si>
    <t>Receipts required for all donations over $250.</t>
  </si>
  <si>
    <t>TAX LAW REMINDERS:</t>
  </si>
  <si>
    <t>2024 STANDARD MILEAGE RATES:</t>
  </si>
  <si>
    <t>2024 STANDARD DEDUCTIONS:</t>
  </si>
  <si>
    <t>BUSINESS EXPENSE RULES:</t>
  </si>
  <si>
    <t>Expenses must be both ORDINARY and NECESSARY:</t>
  </si>
  <si>
    <t>RECORD KEEPING REQUIREMENTS:</t>
  </si>
  <si>
    <t>QUARTERLY REVIEW CHECKLIST:</t>
  </si>
  <si>
    <t>EVERY 3 MONTHS:</t>
  </si>
  <si>
    <t>YEAR-END CHECKLIST:</t>
  </si>
  <si>
    <t>COMMON MISTAKES TO AVOID:</t>
  </si>
  <si>
    <t>MAXIMIZING YOUR DEDUCTIONS:</t>
  </si>
  <si>
    <t>PLANNING STRATEGIES:</t>
  </si>
  <si>
    <t>OVERLOOKED DEDUCTIONS:</t>
  </si>
  <si>
    <t>WHEN TO CONTACT E&amp;N TAX &amp; ACCOUNTING:</t>
  </si>
  <si>
    <t>CALL US FOR:</t>
  </si>
  <si>
    <t>CONTACT INFORMATION:</t>
  </si>
  <si>
    <t>PROFESSIONAL TIPS FROM E&amp;N TAX:</t>
  </si>
  <si>
    <t>1. Start tracking expenses from Day 1 of business</t>
  </si>
  <si>
    <t>2. When in doubt document everything</t>
  </si>
  <si>
    <t>3. Separate business and personal completely</t>
  </si>
  <si>
    <t>4. Review tax law changes annually</t>
  </si>
  <si>
    <t>5. Plan ahead don't just react</t>
  </si>
  <si>
    <t>6. Keep excellent records year-round</t>
  </si>
  <si>
    <t>7. Consider the audit trail for every expense</t>
  </si>
  <si>
    <t>SOFTWARE TIPS:</t>
  </si>
  <si>
    <t>EXCEL FEATURES:</t>
  </si>
  <si>
    <t>FORMULA HELP:</t>
  </si>
  <si>
    <t>VERSION CONTROL:</t>
  </si>
  <si>
    <t>ANNUAL UPDATES:</t>
  </si>
  <si>
    <t>DISCLAIMER &amp; LEGAL NOTES:</t>
  </si>
  <si>
    <t>This tracker is for educational and organizational purposes only.</t>
  </si>
  <si>
    <t>It is not a substitute for professional tax advice.</t>
  </si>
  <si>
    <t>Tax laws change frequently and vary by situation.</t>
  </si>
  <si>
    <t>Always consult with a qualified tax professional.</t>
  </si>
  <si>
    <t>E&amp;N Tax &amp; Accounting is available for consultation.</t>
  </si>
  <si>
    <t>AUDIT PROTECTION:</t>
  </si>
  <si>
    <t>Using this professional tracking system demonstrates:</t>
  </si>
  <si>
    <t>THANK YOU!</t>
  </si>
  <si>
    <t>Thank you for choosing E&amp;N Tax &amp; Accounting's</t>
  </si>
  <si>
    <t>Ultimate Tax Deduction Tracker!</t>
  </si>
  <si>
    <t>This tool represents years of experience helping</t>
  </si>
  <si>
    <t>individuals and small businesses maximize their</t>
  </si>
  <si>
    <t>tax savings while staying fully compliant.</t>
  </si>
  <si>
    <t>For questions support or professional tax services:</t>
  </si>
  <si>
    <t>✓ Filed</t>
  </si>
  <si>
    <t>⚠ Missing</t>
  </si>
  <si>
    <t>1. ☐ Enter your personal information on the Dashboard</t>
  </si>
  <si>
    <t>2. ☐ Set your filing status and estimated AGI</t>
  </si>
  <si>
    <t>3. ☐ Review all sheet tabs to understand the system</t>
  </si>
  <si>
    <t>4. ☐ Start entering current year expenses immediately</t>
  </si>
  <si>
    <t>5. ☐ Set up your receipt storage system</t>
  </si>
  <si>
    <t>6. ☐ Schedule quarterly reviews in your calendar</t>
  </si>
  <si>
    <t>☐ Review all expense categories for completeness</t>
  </si>
  <si>
    <t>☐ Check Receipt Tracker for missing documentation</t>
  </si>
  <si>
    <t>☐ Verify business percentages are still accurate</t>
  </si>
  <si>
    <t>☐ Update home office calculations if needed</t>
  </si>
  <si>
    <t>☐ Calculate quarterly estimated tax payments</t>
  </si>
  <si>
    <t>☐ Plan for any large upcoming expenses</t>
  </si>
  <si>
    <t>☐ Consider timing of discretionary expenses</t>
  </si>
  <si>
    <t>☐ Complete all expense entries by December 31</t>
  </si>
  <si>
    <t>☐ Gather all missing receipts</t>
  </si>
  <si>
    <t>☐ Finalize home office method selection</t>
  </si>
  <si>
    <t>☐ Review charitable contribution limits</t>
  </si>
  <si>
    <t>☐ Consider additional year-end deductions</t>
  </si>
  <si>
    <t>☐ Print Year-End Summary for tax preparer</t>
  </si>
  <si>
    <t>☐ Schedule tax preparation appointment</t>
  </si>
  <si>
    <t>• Enter expenses within 24 hours when possible</t>
  </si>
  <si>
    <t>• Take photos of receipts with your smartphone</t>
  </si>
  <si>
    <t>• Use voice notes to capture details while fresh</t>
  </si>
  <si>
    <t>• Always ask for receipts even for small purchases</t>
  </si>
  <si>
    <t>• Scan or photograph receipts the same day</t>
  </si>
  <si>
    <t>• Store digital copies in cloud backup</t>
  </si>
  <si>
    <t>• Use the Receipt Tracker to log storage location</t>
  </si>
  <si>
    <t>• Be honest about business use percentages</t>
  </si>
  <si>
    <t>• Round to reasonable increments (80% not 83.7%)</t>
  </si>
  <si>
    <t>• Document the basis for mixed-use percentages</t>
  </si>
  <si>
    <t>• When in doubt use conservative estimates</t>
  </si>
  <si>
    <t>• Date and odometer readings</t>
  </si>
  <si>
    <t>• Business purpose for each trip</t>
  </si>
  <si>
    <t>• Start and end locations</t>
  </si>
  <si>
    <t>• Business: $0.67 per mile</t>
  </si>
  <si>
    <t>• Medical/Moving: $0.21 per mile</t>
  </si>
  <si>
    <t>• Charitable: $0.14 per mile</t>
  </si>
  <si>
    <t>• Single: $14600</t>
  </si>
  <si>
    <t>• Married Filing Jointly: $29200</t>
  </si>
  <si>
    <t>• Married Filing Separately: $14600</t>
  </si>
  <si>
    <t>• Head of Household: $21900</t>
  </si>
  <si>
    <t>• Ordinary: Common in your business</t>
  </si>
  <si>
    <t>• Necessary: Helpful and appropriate</t>
  </si>
  <si>
    <t>• Reasonable: Not lavish or extravagant</t>
  </si>
  <si>
    <t>• Business purpose: Clear business benefit</t>
  </si>
  <si>
    <t>• Keep records for at least 3 years</t>
  </si>
  <si>
    <t>• 7 years if you claim loss from worthless securities</t>
  </si>
  <si>
    <t>• Forever if you don't file a return or file fraudulent return</t>
  </si>
  <si>
    <t>• Document business purpose for all expenses</t>
  </si>
  <si>
    <t>• Missing receipts for expenses over $75</t>
  </si>
  <si>
    <t>• Inadequate business purpose documentation</t>
  </si>
  <si>
    <t>• Mixing personal and business expenses</t>
  </si>
  <si>
    <t>• Not tracking vehicle mileage contemporaneously</t>
  </si>
  <si>
    <t>• Using wrong mileage rates</t>
  </si>
  <si>
    <t>• Incorrect business use percentages</t>
  </si>
  <si>
    <t>• Forgetting to apply AGI limitations</t>
  </si>
  <si>
    <t>• Double-counting the same expense</t>
  </si>
  <si>
    <t>• Recording expenses in wrong tax year</t>
  </si>
  <si>
    <t>• Not considering constructive receipt rules</t>
  </si>
  <si>
    <t>• Missing opportunities for tax planning</t>
  </si>
  <si>
    <t>• Time discretionary expenses strategically</t>
  </si>
  <si>
    <t>• Bunch charitable contributions in high-income years</t>
  </si>
  <si>
    <t>• Consider accelerating/deferring business expenses</t>
  </si>
  <si>
    <t>• Maximize retirement account contributions</t>
  </si>
  <si>
    <t>• Plan equipment purchases for maximum depreciation</t>
  </si>
  <si>
    <t>• Bank fees for business accounts</t>
  </si>
  <si>
    <t>• Subscriptions to trade publications</t>
  </si>
  <si>
    <t>• Professional licensing fees</t>
  </si>
  <si>
    <t>• Business-related educational expenses</t>
  </si>
  <si>
    <t>• Networking and professional development</t>
  </si>
  <si>
    <t>• Office supplies and equipment</t>
  </si>
  <si>
    <t>• Questions about deductibility</t>
  </si>
  <si>
    <t>• Complex business expense situations</t>
  </si>
  <si>
    <t>• Home office setup guidance</t>
  </si>
  <si>
    <t>• Entity selection advice</t>
  </si>
  <si>
    <t>• Tax planning strategies</t>
  </si>
  <si>
    <t>• IRS correspondence or audits</t>
  </si>
  <si>
    <t>• Quarterly tax planning reviews</t>
  </si>
  <si>
    <t>• Use Ctrl+; to insert today's date</t>
  </si>
  <si>
    <t>• Use data validation dropdowns for consistency</t>
  </si>
  <si>
    <t>• Freeze panes to keep headers visible</t>
  </si>
  <si>
    <t>• Use conditional formatting to highlight issues</t>
  </si>
  <si>
    <t>• Regular backups to prevent data loss</t>
  </si>
  <si>
    <t>• All calculations are automated</t>
  </si>
  <si>
    <t>• Don't edit formula cells (they're protected)</t>
  </si>
  <si>
    <t>• If formulas break contact E&amp;N for assistance</t>
  </si>
  <si>
    <t>• Monthly totals update automatically</t>
  </si>
  <si>
    <t>• Year-end summary pulls from all sheets</t>
  </si>
  <si>
    <t>• New mileage rates published each December</t>
  </si>
  <si>
    <t>• Standard deduction amounts change annually</t>
  </si>
  <si>
    <t>• Tax law changes may affect categories</t>
  </si>
  <si>
    <t>• E&amp;N provides updated versions each January</t>
  </si>
  <si>
    <t>• Existing customers receive discount on new versions</t>
  </si>
  <si>
    <t>• Good faith effort to comply with tax laws</t>
  </si>
  <si>
    <t>• Systematic approach to record keeping</t>
  </si>
  <si>
    <t>• Professional organization of tax documents</t>
  </si>
  <si>
    <t>• Reasonable basis for claimed deductions</t>
  </si>
  <si>
    <t>❌ DOCUMENTATION ERRORS:</t>
  </si>
  <si>
    <t>❌ CALCULATION ERRORS:</t>
  </si>
  <si>
    <t>❌ TIMING ERRORS:</t>
  </si>
  <si>
    <t>⚠️ IMPORTANT:</t>
  </si>
  <si>
    <t>📞 Phone: [Your Phone Number]</t>
  </si>
  <si>
    <t>🌐 Website: entaxaccounting.com</t>
  </si>
  <si>
    <t>📍 Office: [Your Address]</t>
  </si>
  <si>
    <t>📧 Email: info@entaxaccounting.com</t>
  </si>
  <si>
    <t>💡 SUCCESS TIPS:</t>
  </si>
  <si>
    <t>📧 info@entaxaccounting.com</t>
  </si>
  <si>
    <t>No</t>
  </si>
  <si>
    <t>Rent</t>
  </si>
  <si>
    <t>W-2, 1099's, etc.</t>
  </si>
  <si>
    <t>DISCLAIMER</t>
  </si>
  <si>
    <t>John Doe</t>
  </si>
  <si>
    <t>123-45-6789</t>
  </si>
  <si>
    <t>Single</t>
  </si>
  <si>
    <t>Total Vehicle &amp; Travel</t>
  </si>
  <si>
    <t>Total Other Deductions</t>
  </si>
  <si>
    <t>Percentage</t>
  </si>
  <si>
    <t>Investment</t>
  </si>
  <si>
    <t>[Enter Premium]</t>
  </si>
  <si>
    <t>Recurring ID</t>
  </si>
  <si>
    <t>Day of Month</t>
  </si>
  <si>
    <t>Active Status</t>
  </si>
  <si>
    <t>Target Sheet</t>
  </si>
  <si>
    <t>Start Month</t>
  </si>
  <si>
    <t>End Month</t>
  </si>
  <si>
    <t>Office 365 Business</t>
  </si>
  <si>
    <t>Active</t>
  </si>
  <si>
    <t>Monthly subscription automatically renewed</t>
  </si>
  <si>
    <t>QuickBooks Subscription</t>
  </si>
  <si>
    <t>Accounting software monthly billing</t>
  </si>
  <si>
    <t>Business Phone Bill</t>
  </si>
  <si>
    <t>Business line portion of family plan</t>
  </si>
  <si>
    <t>WeWork</t>
  </si>
  <si>
    <t>Shared office space monthly rent</t>
  </si>
  <si>
    <t>State Farm</t>
  </si>
  <si>
    <t>General liability insurance quarterly</t>
  </si>
  <si>
    <t>Zoom Pro Subscription</t>
  </si>
  <si>
    <t>Video conferencing monthly subscription</t>
  </si>
  <si>
    <t>Adobe Creative Suite</t>
  </si>
  <si>
    <t>Design software monthly subscription</t>
  </si>
  <si>
    <t>GoDaddy</t>
  </si>
  <si>
    <t>Business website hosting</t>
  </si>
  <si>
    <t>Tax Advisor Magazine</t>
  </si>
  <si>
    <t>Monthly industry magazine</t>
  </si>
  <si>
    <t>Business Bank Fees</t>
  </si>
  <si>
    <t>Chase Business</t>
  </si>
  <si>
    <t>Monthly account maintenance fee</t>
  </si>
  <si>
    <t>Parking Pass</t>
  </si>
  <si>
    <t>Downtown Garage</t>
  </si>
  <si>
    <t>Monthly parking for client meetings</t>
  </si>
  <si>
    <t>Cloud Storage</t>
  </si>
  <si>
    <t>Dropbox Business</t>
  </si>
  <si>
    <t>Document backup and sharing</t>
  </si>
  <si>
    <t>Security Monitoring</t>
  </si>
  <si>
    <t>ADT Business</t>
  </si>
  <si>
    <t>Office security system monthly</t>
  </si>
  <si>
    <t>Internet Service</t>
  </si>
  <si>
    <t>Comcast Business</t>
  </si>
  <si>
    <t>High-speed internet for office</t>
  </si>
  <si>
    <t>Charitable Contributions</t>
  </si>
  <si>
    <t>Match Details</t>
  </si>
  <si>
    <t>Photo Status</t>
  </si>
  <si>
    <t>Receipt Photo</t>
  </si>
  <si>
    <t>Auto-populated by photo discovery</t>
  </si>
  <si>
    <t>Found/Missing/Pending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</si>
</sst>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m/dd/yyyy"/>
    <numFmt numFmtId="166" formatCode="0.0%"/>
  </numFmts>
  <fonts count="15" x14ac:knownFonts="1">
    <font>
      <sz val="12"/>
      <color theme="1"/>
      <name val="Aptos Narrow"/>
      <family val="2"/>
      <scheme val="minor"/>
    </font>
    <font>
      <i/>
      <sz val="8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12"/>
      <color rgb="FFFF0000"/>
      <name val="Aptos Narrow"/>
      <scheme val="minor"/>
    </font>
    <font>
      <sz val="12"/>
      <color rgb="FF000000"/>
      <name val="Apple Color Emoji"/>
    </font>
    <font>
      <b/>
      <sz val="20"/>
      <color rgb="FFFFFFFF"/>
      <name val="Aptos Narrow"/>
      <scheme val="minor"/>
    </font>
    <font>
      <b/>
      <sz val="12"/>
      <color rgb="FFFFFFFF"/>
      <name val="Aptos Narrow"/>
      <scheme val="minor"/>
    </font>
    <font>
      <sz val="13"/>
      <color rgb="FF000000"/>
      <name val="Lucida Grande"/>
      <family val="2"/>
    </font>
    <font>
      <sz val="12"/>
      <color theme="1"/>
      <name val="Aptos Narrow"/>
      <family val="2"/>
      <scheme val="minor"/>
    </font>
    <font>
      <sz val="10"/>
      <color rgb="FFABB2BF"/>
      <name val="Menlo"/>
      <family val="2"/>
    </font>
    <font>
      <b/>
      <sz val="22"/>
      <color theme="1"/>
      <name val="Aptos Narrow"/>
      <scheme val="minor"/>
    </font>
    <font>
      <b/>
      <sz val="12"/>
      <color theme="0"/>
      <name val="Aptos Narrow"/>
      <scheme val="minor"/>
    </font>
    <font>
      <i/>
      <sz val="12"/>
      <color rgb="FF808080"/>
      <name val="Aptos Narrow"/>
      <scheme val="minor"/>
    </font>
    <font>
      <b/>
      <i/>
      <sz val="12"/>
      <color rgb="FF808080"/>
      <name val="Aptos Narrow"/>
      <scheme val="minor"/>
    </font>
    <font>
      <sz val="12"/>
      <color rgb="FF00000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EB"/>
        <bgColor indexed="64"/>
      </patternFill>
    </fill>
    <fill>
      <patternFill patternType="solid">
        <fgColor rgb="FF5B8A8C"/>
        <bgColor indexed="64"/>
      </patternFill>
    </fill>
    <fill>
      <patternFill patternType="solid">
        <fgColor rgb="FF4472C7"/>
        <bgColor indexed="64"/>
      </patternFill>
    </fill>
    <fill>
      <patternFill patternType="solid">
        <fgColor rgb="FF4CAF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9" fontId="0" fillId="0" borderId="0" xfId="0" applyNumberFormat="1"/>
    <xf numFmtId="14" fontId="0" fillId="2" borderId="0" xfId="0" applyNumberFormat="1" applyFill="1"/>
    <xf numFmtId="0" fontId="0" fillId="2" borderId="0" xfId="0" applyFill="1"/>
    <xf numFmtId="0" fontId="2" fillId="0" borderId="0" xfId="0" applyFont="1"/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165" fontId="0" fillId="2" borderId="0" xfId="0" applyNumberFormat="1" applyFill="1"/>
    <xf numFmtId="164" fontId="0" fillId="2" borderId="0" xfId="0" applyNumberFormat="1" applyFill="1"/>
    <xf numFmtId="9" fontId="0" fillId="0" borderId="0" xfId="1" applyFont="1"/>
    <xf numFmtId="9" fontId="0" fillId="0" borderId="0" xfId="1" applyFont="1" applyFill="1"/>
    <xf numFmtId="9" fontId="0" fillId="2" borderId="0" xfId="1" applyFont="1" applyFill="1"/>
    <xf numFmtId="0" fontId="10" fillId="0" borderId="0" xfId="0" applyFont="1"/>
    <xf numFmtId="0" fontId="5" fillId="0" borderId="0" xfId="0" applyFont="1"/>
    <xf numFmtId="0" fontId="1" fillId="0" borderId="0" xfId="0" applyFont="1"/>
    <xf numFmtId="10" fontId="0" fillId="0" borderId="0" xfId="0" applyNumberFormat="1"/>
    <xf numFmtId="0" fontId="3" fillId="0" borderId="0" xfId="0" applyFont="1"/>
    <xf numFmtId="44" fontId="0" fillId="0" borderId="0" xfId="2" applyFont="1"/>
    <xf numFmtId="3" fontId="0" fillId="0" borderId="0" xfId="0" applyNumberFormat="1"/>
    <xf numFmtId="44" fontId="0" fillId="2" borderId="0" xfId="2" applyFont="1" applyFill="1"/>
    <xf numFmtId="164" fontId="6" fillId="3" borderId="1" xfId="0" applyNumberFormat="1" applyFont="1" applyFill="1" applyBorder="1" applyAlignment="1">
      <alignment horizontal="center"/>
    </xf>
    <xf numFmtId="165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66" fontId="0" fillId="0" borderId="0" xfId="1" applyNumberFormat="1" applyFont="1"/>
    <xf numFmtId="44" fontId="0" fillId="0" borderId="0" xfId="0" applyNumberFormat="1"/>
    <xf numFmtId="0" fontId="9" fillId="0" borderId="0" xfId="0" applyFont="1"/>
    <xf numFmtId="44" fontId="0" fillId="0" borderId="0" xfId="2" applyFont="1" applyFill="1" applyBorder="1"/>
    <xf numFmtId="8" fontId="0" fillId="0" borderId="0" xfId="0" applyNumberFormat="1" applyAlignment="1">
      <alignment horizontal="right"/>
    </xf>
    <xf numFmtId="44" fontId="0" fillId="0" borderId="0" xfId="2" applyFont="1" applyAlignment="1">
      <alignment horizontal="right"/>
    </xf>
    <xf numFmtId="0" fontId="11" fillId="4" borderId="0" xfId="0" applyFont="1" applyFill="1"/>
    <xf numFmtId="0" fontId="11" fillId="0" borderId="0" xfId="0" applyFont="1"/>
    <xf numFmtId="0" fontId="0" fillId="0" borderId="1" xfId="0" applyBorder="1"/>
    <xf numFmtId="9" fontId="0" fillId="0" borderId="1" xfId="0" applyNumberFormat="1" applyBorder="1"/>
    <xf numFmtId="14" fontId="0" fillId="0" borderId="1" xfId="0" applyNumberFormat="1" applyBorder="1"/>
    <xf numFmtId="44" fontId="0" fillId="0" borderId="1" xfId="0" applyNumberFormat="1" applyBorder="1"/>
    <xf numFmtId="0" fontId="11" fillId="4" borderId="0" xfId="2" applyNumberFormat="1" applyFont="1" applyFill="1"/>
    <xf numFmtId="166" fontId="0" fillId="0" borderId="0" xfId="0" applyNumberFormat="1"/>
    <xf numFmtId="0" fontId="6" fillId="5" borderId="0" xfId="0" applyFont="1" applyFill="1"/>
    <xf numFmtId="0" fontId="1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4472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8</xdr:row>
          <xdr:rowOff>139700</xdr:rowOff>
        </xdr:from>
        <xdr:to>
          <xdr:col>18</xdr:col>
          <xdr:colOff>63500</xdr:colOff>
          <xdr:row>11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🔄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Refresh All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0</xdr:row>
          <xdr:rowOff>241300</xdr:rowOff>
        </xdr:from>
        <xdr:to>
          <xdr:col>18</xdr:col>
          <xdr:colOff>127000</xdr:colOff>
          <xdr:row>3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❓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Help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19</xdr:row>
          <xdr:rowOff>63500</xdr:rowOff>
        </xdr:from>
        <xdr:to>
          <xdr:col>18</xdr:col>
          <xdr:colOff>0</xdr:colOff>
          <xdr:row>21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💾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Backup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5</xdr:row>
          <xdr:rowOff>25400</xdr:rowOff>
        </xdr:from>
        <xdr:to>
          <xdr:col>18</xdr:col>
          <xdr:colOff>114300</xdr:colOff>
          <xdr:row>7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📋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Year-End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12</xdr:row>
          <xdr:rowOff>127000</xdr:rowOff>
        </xdr:from>
        <xdr:to>
          <xdr:col>18</xdr:col>
          <xdr:colOff>88900</xdr:colOff>
          <xdr:row>14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Quick Navigation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50800</xdr:colOff>
      <xdr:row>25</xdr:row>
      <xdr:rowOff>127000</xdr:rowOff>
    </xdr:from>
    <xdr:to>
      <xdr:col>18</xdr:col>
      <xdr:colOff>342900</xdr:colOff>
      <xdr:row>28</xdr:row>
      <xdr:rowOff>25400</xdr:rowOff>
    </xdr:to>
    <xdr:sp macro="GenerateRecurringExpenses" textlink="">
      <xdr:nvSpPr>
        <xdr:cNvPr id="2" name="btnGenerateRecurring">
          <a:extLst>
            <a:ext uri="{FF2B5EF4-FFF2-40B4-BE49-F238E27FC236}">
              <a16:creationId xmlns:a16="http://schemas.microsoft.com/office/drawing/2014/main" id="{AEB3BA58-D195-836A-682F-92CBB8A13FB3}"/>
            </a:ext>
          </a:extLst>
        </xdr:cNvPr>
        <xdr:cNvSpPr/>
      </xdr:nvSpPr>
      <xdr:spPr>
        <a:xfrm>
          <a:off x="10604500" y="5346700"/>
          <a:ext cx="2540000" cy="508000"/>
        </a:xfrm>
        <a:prstGeom prst="roundRect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Generate Recurring Expenses</a:t>
          </a:r>
        </a:p>
      </xdr:txBody>
    </xdr:sp>
    <xdr:clientData/>
  </xdr:twoCellAnchor>
  <xdr:twoCellAnchor>
    <xdr:from>
      <xdr:col>18</xdr:col>
      <xdr:colOff>469900</xdr:colOff>
      <xdr:row>25</xdr:row>
      <xdr:rowOff>127000</xdr:rowOff>
    </xdr:from>
    <xdr:to>
      <xdr:col>21</xdr:col>
      <xdr:colOff>279400</xdr:colOff>
      <xdr:row>28</xdr:row>
      <xdr:rowOff>25400</xdr:rowOff>
    </xdr:to>
    <xdr:sp macro="ValidateRecurringDataStructure" textlink="">
      <xdr:nvSpPr>
        <xdr:cNvPr id="3" name="btnValidateData">
          <a:extLst>
            <a:ext uri="{FF2B5EF4-FFF2-40B4-BE49-F238E27FC236}">
              <a16:creationId xmlns:a16="http://schemas.microsoft.com/office/drawing/2014/main" id="{E9107107-B1E4-19E2-BA7B-6EA95AA7D8D8}"/>
            </a:ext>
          </a:extLst>
        </xdr:cNvPr>
        <xdr:cNvSpPr/>
      </xdr:nvSpPr>
      <xdr:spPr>
        <a:xfrm>
          <a:off x="13271500" y="5346700"/>
          <a:ext cx="2286000" cy="508000"/>
        </a:xfrm>
        <a:prstGeom prst="roundRect">
          <a:avLst/>
        </a:prstGeom>
        <a:solidFill>
          <a:srgbClr val="2E7D3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Validate Setup Data</a:t>
          </a:r>
        </a:p>
      </xdr:txBody>
    </xdr:sp>
    <xdr:clientData/>
  </xdr:twoCellAnchor>
  <xdr:twoCellAnchor>
    <xdr:from>
      <xdr:col>11</xdr:col>
      <xdr:colOff>50800</xdr:colOff>
      <xdr:row>28</xdr:row>
      <xdr:rowOff>152400</xdr:rowOff>
    </xdr:from>
    <xdr:to>
      <xdr:col>18</xdr:col>
      <xdr:colOff>88900</xdr:colOff>
      <xdr:row>30</xdr:row>
      <xdr:rowOff>190500</xdr:rowOff>
    </xdr:to>
    <xdr:sp macro="InstallReceiptPhotoSystem" textlink="">
      <xdr:nvSpPr>
        <xdr:cNvPr id="4" name="btnSetupPhotos">
          <a:extLst>
            <a:ext uri="{FF2B5EF4-FFF2-40B4-BE49-F238E27FC236}">
              <a16:creationId xmlns:a16="http://schemas.microsoft.com/office/drawing/2014/main" id="{906BB8EF-5C94-2B40-35C7-E3C3ED19AA15}"/>
            </a:ext>
          </a:extLst>
        </xdr:cNvPr>
        <xdr:cNvSpPr/>
      </xdr:nvSpPr>
      <xdr:spPr>
        <a:xfrm>
          <a:off x="10604500" y="5981700"/>
          <a:ext cx="2286000" cy="444500"/>
        </a:xfrm>
        <a:prstGeom prst="roundRect">
          <a:avLst/>
        </a:prstGeom>
        <a:solidFill>
          <a:srgbClr val="4CAF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Setup Photo System</a:t>
          </a:r>
        </a:p>
      </xdr:txBody>
    </xdr:sp>
    <xdr:clientData/>
  </xdr:twoCellAnchor>
  <xdr:twoCellAnchor>
    <xdr:from>
      <xdr:col>18</xdr:col>
      <xdr:colOff>215900</xdr:colOff>
      <xdr:row>28</xdr:row>
      <xdr:rowOff>152400</xdr:rowOff>
    </xdr:from>
    <xdr:to>
      <xdr:col>21</xdr:col>
      <xdr:colOff>25400</xdr:colOff>
      <xdr:row>30</xdr:row>
      <xdr:rowOff>190500</xdr:rowOff>
    </xdr:to>
    <xdr:sp macro="DiscoverReceiptPhotos" textlink="">
      <xdr:nvSpPr>
        <xdr:cNvPr id="5" name="btnDiscoverPhotos">
          <a:extLst>
            <a:ext uri="{FF2B5EF4-FFF2-40B4-BE49-F238E27FC236}">
              <a16:creationId xmlns:a16="http://schemas.microsoft.com/office/drawing/2014/main" id="{EE431287-170F-83F2-15B5-34CC3A3CAC28}"/>
            </a:ext>
          </a:extLst>
        </xdr:cNvPr>
        <xdr:cNvSpPr/>
      </xdr:nvSpPr>
      <xdr:spPr>
        <a:xfrm>
          <a:off x="13017500" y="5981700"/>
          <a:ext cx="2286000" cy="444500"/>
        </a:xfrm>
        <a:prstGeom prst="roundRect">
          <a:avLst/>
        </a:prstGeom>
        <a:solidFill>
          <a:srgbClr val="FF98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Discover &amp; Link Photos</a:t>
          </a:r>
        </a:p>
      </xdr:txBody>
    </xdr:sp>
    <xdr:clientData/>
  </xdr:twoCellAnchor>
  <xdr:twoCellAnchor>
    <xdr:from>
      <xdr:col>21</xdr:col>
      <xdr:colOff>152400</xdr:colOff>
      <xdr:row>28</xdr:row>
      <xdr:rowOff>152400</xdr:rowOff>
    </xdr:from>
    <xdr:to>
      <xdr:col>23</xdr:col>
      <xdr:colOff>787400</xdr:colOff>
      <xdr:row>30</xdr:row>
      <xdr:rowOff>190500</xdr:rowOff>
    </xdr:to>
    <xdr:sp macro="ShowPhotoComplianceReport" textlink="">
      <xdr:nvSpPr>
        <xdr:cNvPr id="6" name="btnPhotoCompliance">
          <a:extLst>
            <a:ext uri="{FF2B5EF4-FFF2-40B4-BE49-F238E27FC236}">
              <a16:creationId xmlns:a16="http://schemas.microsoft.com/office/drawing/2014/main" id="{264FF5E6-342C-557B-5238-444A424FF5E5}"/>
            </a:ext>
          </a:extLst>
        </xdr:cNvPr>
        <xdr:cNvSpPr/>
      </xdr:nvSpPr>
      <xdr:spPr>
        <a:xfrm>
          <a:off x="15430500" y="5981700"/>
          <a:ext cx="2286000" cy="444500"/>
        </a:xfrm>
        <a:prstGeom prst="roundRect">
          <a:avLst/>
        </a:prstGeom>
        <a:solidFill>
          <a:srgbClr val="673AB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Photo Compliance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901700</xdr:colOff>
      <xdr:row>25</xdr:row>
      <xdr:rowOff>190500</xdr:rowOff>
    </xdr:from>
    <xdr:to>
      <xdr:col>2</xdr:col>
      <xdr:colOff>1168400</xdr:colOff>
      <xdr:row>27</xdr:row>
      <xdr:rowOff>165100</xdr:rowOff>
    </xdr:to>
    <xdr:sp macro="SetupRecurringExpenses" textlink="">
      <xdr:nvSpPr>
        <xdr:cNvPr id="2" name="btnSetupRecurring">
          <a:extLst>
            <a:ext uri="{FF2B5EF4-FFF2-40B4-BE49-F238E27FC236}">
              <a16:creationId xmlns:a16="http://schemas.microsoft.com/office/drawing/2014/main" id="{E33B5262-2489-6E50-BE9E-3C4BF75BDB0E}"/>
            </a:ext>
          </a:extLst>
        </xdr:cNvPr>
        <xdr:cNvSpPr/>
      </xdr:nvSpPr>
      <xdr:spPr>
        <a:xfrm>
          <a:off x="1765300" y="5270500"/>
          <a:ext cx="1905000" cy="381000"/>
        </a:xfrm>
        <a:prstGeom prst="roundRect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FFFF"/>
              </a:solidFill>
            </a:rPr>
            <a:t>Setup System</a:t>
          </a:r>
        </a:p>
      </xdr:txBody>
    </xdr:sp>
    <xdr:clientData/>
  </xdr:twoCellAnchor>
  <xdr:twoCellAnchor>
    <xdr:from>
      <xdr:col>1</xdr:col>
      <xdr:colOff>901700</xdr:colOff>
      <xdr:row>28</xdr:row>
      <xdr:rowOff>88900</xdr:rowOff>
    </xdr:from>
    <xdr:to>
      <xdr:col>2</xdr:col>
      <xdr:colOff>1168400</xdr:colOff>
      <xdr:row>30</xdr:row>
      <xdr:rowOff>63500</xdr:rowOff>
    </xdr:to>
    <xdr:sp macro="ValidateRecurringDataStructure" textlink="">
      <xdr:nvSpPr>
        <xdr:cNvPr id="3" name="btnValidateSetup">
          <a:extLst>
            <a:ext uri="{FF2B5EF4-FFF2-40B4-BE49-F238E27FC236}">
              <a16:creationId xmlns:a16="http://schemas.microsoft.com/office/drawing/2014/main" id="{FEDF7D69-FAB2-0C6E-051E-15F559635781}"/>
            </a:ext>
          </a:extLst>
        </xdr:cNvPr>
        <xdr:cNvSpPr/>
      </xdr:nvSpPr>
      <xdr:spPr>
        <a:xfrm>
          <a:off x="1765300" y="5778500"/>
          <a:ext cx="1905000" cy="381000"/>
        </a:xfrm>
        <a:prstGeom prst="roundRect">
          <a:avLst/>
        </a:prstGeom>
        <a:solidFill>
          <a:srgbClr val="2E7D3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FFFF"/>
              </a:solidFill>
            </a:rPr>
            <a:t>Validate Data</a:t>
          </a:r>
        </a:p>
      </xdr:txBody>
    </xdr:sp>
    <xdr:clientData/>
  </xdr:twoCellAnchor>
  <xdr:twoCellAnchor>
    <xdr:from>
      <xdr:col>1</xdr:col>
      <xdr:colOff>901700</xdr:colOff>
      <xdr:row>30</xdr:row>
      <xdr:rowOff>190500</xdr:rowOff>
    </xdr:from>
    <xdr:to>
      <xdr:col>2</xdr:col>
      <xdr:colOff>1168400</xdr:colOff>
      <xdr:row>32</xdr:row>
      <xdr:rowOff>165100</xdr:rowOff>
    </xdr:to>
    <xdr:sp macro="GenerateRecurringExpenses" textlink="">
      <xdr:nvSpPr>
        <xdr:cNvPr id="4" name="btnGenerateExpenses">
          <a:extLst>
            <a:ext uri="{FF2B5EF4-FFF2-40B4-BE49-F238E27FC236}">
              <a16:creationId xmlns:a16="http://schemas.microsoft.com/office/drawing/2014/main" id="{69BECE6A-1A63-9466-5B93-77DDBA8BE66C}"/>
            </a:ext>
          </a:extLst>
        </xdr:cNvPr>
        <xdr:cNvSpPr/>
      </xdr:nvSpPr>
      <xdr:spPr>
        <a:xfrm>
          <a:off x="1765300" y="6286500"/>
          <a:ext cx="1905000" cy="381000"/>
        </a:xfrm>
        <a:prstGeom prst="roundRect">
          <a:avLst/>
        </a:prstGeom>
        <a:solidFill>
          <a:srgbClr val="FF572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FFFF"/>
              </a:solidFill>
            </a:rPr>
            <a:t>Generate Expenses</a:t>
          </a:r>
        </a:p>
      </xdr:txBody>
    </xdr:sp>
    <xdr:clientData/>
  </xdr:twoCellAnchor>
  <xdr:twoCellAnchor>
    <xdr:from>
      <xdr:col>3</xdr:col>
      <xdr:colOff>317500</xdr:colOff>
      <xdr:row>26</xdr:row>
      <xdr:rowOff>190500</xdr:rowOff>
    </xdr:from>
    <xdr:to>
      <xdr:col>4</xdr:col>
      <xdr:colOff>304800</xdr:colOff>
      <xdr:row>28</xdr:row>
      <xdr:rowOff>165100</xdr:rowOff>
    </xdr:to>
    <xdr:sp macro="ShowRecurringExpenseReport" textlink="">
      <xdr:nvSpPr>
        <xdr:cNvPr id="5" name="btnShowReport">
          <a:extLst>
            <a:ext uri="{FF2B5EF4-FFF2-40B4-BE49-F238E27FC236}">
              <a16:creationId xmlns:a16="http://schemas.microsoft.com/office/drawing/2014/main" id="{5F03BB66-5275-56BC-3B67-DC237CD03447}"/>
            </a:ext>
          </a:extLst>
        </xdr:cNvPr>
        <xdr:cNvSpPr/>
      </xdr:nvSpPr>
      <xdr:spPr>
        <a:xfrm>
          <a:off x="4203700" y="5473700"/>
          <a:ext cx="1905000" cy="381000"/>
        </a:xfrm>
        <a:prstGeom prst="roundRect">
          <a:avLst/>
        </a:prstGeom>
        <a:solidFill>
          <a:srgbClr val="9C27B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FFFF"/>
              </a:solidFill>
            </a:rPr>
            <a:t>Show Report</a:t>
          </a:r>
        </a:p>
      </xdr:txBody>
    </xdr:sp>
    <xdr:clientData/>
  </xdr:twoCellAnchor>
  <xdr:twoCellAnchor>
    <xdr:from>
      <xdr:col>3</xdr:col>
      <xdr:colOff>317500</xdr:colOff>
      <xdr:row>29</xdr:row>
      <xdr:rowOff>88900</xdr:rowOff>
    </xdr:from>
    <xdr:to>
      <xdr:col>4</xdr:col>
      <xdr:colOff>304800</xdr:colOff>
      <xdr:row>31</xdr:row>
      <xdr:rowOff>63500</xdr:rowOff>
    </xdr:to>
    <xdr:sp macro="QuickFixRecurringData" textlink="">
      <xdr:nvSpPr>
        <xdr:cNvPr id="6" name="btnQuickFix">
          <a:extLst>
            <a:ext uri="{FF2B5EF4-FFF2-40B4-BE49-F238E27FC236}">
              <a16:creationId xmlns:a16="http://schemas.microsoft.com/office/drawing/2014/main" id="{33032D3A-3A89-3D0C-39FB-5E582AAA3A2A}"/>
            </a:ext>
          </a:extLst>
        </xdr:cNvPr>
        <xdr:cNvSpPr/>
      </xdr:nvSpPr>
      <xdr:spPr>
        <a:xfrm>
          <a:off x="4203700" y="5981700"/>
          <a:ext cx="1905000" cy="381000"/>
        </a:xfrm>
        <a:prstGeom prst="roundRect">
          <a:avLst/>
        </a:prstGeom>
        <a:solidFill>
          <a:srgbClr val="FFC10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0000"/>
              </a:solidFill>
            </a:rPr>
            <a:t>Quick Fix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317500</xdr:colOff>
          <xdr:row>9</xdr:row>
          <xdr:rowOff>38100</xdr:rowOff>
        </xdr:from>
        <xdr:to>
          <xdr:col>9</xdr:col>
          <xdr:colOff>863600</xdr:colOff>
          <xdr:row>28</xdr:row>
          <xdr:rowOff>127000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Category Totals: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330200</xdr:colOff>
      <xdr:row>0</xdr:row>
      <xdr:rowOff>190500</xdr:rowOff>
    </xdr:from>
    <xdr:to>
      <xdr:col>10</xdr:col>
      <xdr:colOff>419100</xdr:colOff>
      <xdr:row>7</xdr:row>
      <xdr:rowOff>101600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FED5F6F-9C4E-3868-B2D5-2C5DD320B30B}"/>
            </a:ext>
          </a:extLst>
        </xdr:cNvPr>
        <xdr:cNvGrpSpPr/>
      </xdr:nvGrpSpPr>
      <xdr:grpSpPr>
        <a:xfrm>
          <a:off x="9131300" y="190500"/>
          <a:ext cx="3314700" cy="1511300"/>
          <a:chOff x="8788401" y="3759200"/>
          <a:chExt cx="3111500" cy="151130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9004300" y="4508500"/>
                    <a:ext cx="1117600" cy="5588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45720" tIns="45720" rIns="45720" bIns="45720" anchor="ctr" upright="1"/>
                  <a:lstStyle/>
                  <a:p>
                    <a:pPr algn="ct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ple Color Emoji" charset="0"/>
                        <a:ea typeface="Apple Color Emoji" charset="0"/>
                      </a:rPr>
                      <a:t>🔄</a:t>
                    </a: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tos Narrow" charset="0"/>
                        <a:ea typeface="Apple Color Emoji" charset="0"/>
                      </a:rPr>
                      <a:t> Refresh</a:t>
                    </a:r>
                    <a:endParaRPr lang="en-US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endParaRP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0388600" y="3898900"/>
                    <a:ext cx="1333500" cy="5588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45720" tIns="45720" rIns="45720" bIns="45720" anchor="ctr" upright="1"/>
                  <a:lstStyle/>
                  <a:p>
                    <a:pPr algn="ct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ple Color Emoji" charset="0"/>
                        <a:ea typeface="Apple Color Emoji" charset="0"/>
                      </a:rPr>
                      <a:t>📊</a:t>
                    </a: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tos Narrow" charset="0"/>
                        <a:ea typeface="Apple Color Emoji" charset="0"/>
                      </a:rPr>
                      <a:t> Dashboard</a:t>
                    </a:r>
                    <a:endParaRPr lang="en-US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endParaRP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3" name="Button 5" hidden="1">
                    <a:extLst>
                      <a:ext uri="{63B3BB69-23CF-44E3-9099-C40C66FF867C}">
                        <a14:compatExt spid="_x0000_s2053"/>
                      </a:ext>
                      <a:ext uri="{FF2B5EF4-FFF2-40B4-BE49-F238E27FC236}">
                        <a16:creationId xmlns:a16="http://schemas.microsoft.com/office/drawing/2014/main" id="{00000000-0008-0000-0200-000005080000}"/>
                      </a:ext>
                    </a:extLst>
                  </xdr:cNvPr>
                  <xdr:cNvSpPr/>
                </xdr:nvSpPr>
                <xdr:spPr bwMode="auto">
                  <a:xfrm>
                    <a:off x="10528300" y="4533900"/>
                    <a:ext cx="1041400" cy="5588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45720" tIns="45720" rIns="45720" bIns="45720" anchor="ctr" upright="1"/>
                  <a:lstStyle/>
                  <a:p>
                    <a:pPr algn="ct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ple Color Emoji" charset="0"/>
                        <a:ea typeface="Apple Color Emoji" charset="0"/>
                      </a:rPr>
                      <a:t>📤</a:t>
                    </a: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tos Narrow" charset="0"/>
                        <a:ea typeface="Apple Color Emoji" charset="0"/>
                      </a:rPr>
                      <a:t> Export</a:t>
                    </a:r>
                    <a:endParaRPr lang="en-US" sz="1200" b="0" i="0" u="none" strike="noStrike" baseline="0">
                      <a:solidFill>
                        <a:srgbClr val="000000"/>
                      </a:solidFill>
                      <a:latin typeface="Aptos Narrow" charset="0"/>
                    </a:endParaRP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2063" name="Button 15" hidden="1">
            <a:extLst>
              <a:ext uri="{63B3BB69-23CF-44E3-9099-C40C66FF867C}">
                <a14:compatExt xmlns:a14="http://schemas.microsoft.com/office/drawing/2010/main" spid="_x0000_s2063"/>
              </a:ext>
              <a:ext uri="{FF2B5EF4-FFF2-40B4-BE49-F238E27FC236}">
                <a16:creationId xmlns:a16="http://schemas.microsoft.com/office/drawing/2014/main" id="{00000000-0008-0000-0200-000004080000}"/>
              </a:ext>
            </a:extLst>
          </xdr:cNvPr>
          <xdr:cNvSpPr/>
        </xdr:nvSpPr>
        <xdr:spPr bwMode="auto">
          <a:xfrm>
            <a:off x="8928100" y="3886200"/>
            <a:ext cx="1333500" cy="558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45720" tIns="45720" rIns="45720" bIns="45720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pple Color Emoji" charset="0"/>
                <a:ea typeface="Apple Color Emoji" charset="0"/>
              </a:rPr>
              <a:t>🧷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Aptos Narrow" charset="0"/>
                <a:ea typeface="Apple Color Emoji" charset="0"/>
              </a:rPr>
              <a:t> Quick Navigation</a:t>
            </a:r>
            <a:endParaRPr lang="en-US" sz="1200" b="0" i="0" u="none" strike="noStrike" baseline="0">
              <a:solidFill>
                <a:srgbClr val="000000"/>
              </a:solidFill>
              <a:latin typeface="Aptos Narrow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64" name="Group Box 16" hidden="1">
                    <a:extLst>
                      <a:ext uri="{63B3BB69-23CF-44E3-9099-C40C66FF867C}">
                        <a14:compatExt spid="_x0000_s2064"/>
                      </a:ext>
                      <a:ext uri="{FF2B5EF4-FFF2-40B4-BE49-F238E27FC236}">
                        <a16:creationId xmlns:a16="http://schemas.microsoft.com/office/drawing/2014/main" id="{00000000-0008-0000-0200-000010080000}"/>
                      </a:ext>
                    </a:extLst>
                  </xdr:cNvPr>
                  <xdr:cNvSpPr/>
                </xdr:nvSpPr>
                <xdr:spPr bwMode="auto">
                  <a:xfrm>
                    <a:off x="8788401" y="3759200"/>
                    <a:ext cx="3111500" cy="15113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</a:extLst>
                </xdr:spPr>
                <xdr:txBody>
                  <a:bodyPr vertOverflow="clip" wrap="none" lIns="27432" tIns="22860" rIns="0" bIns="0" anchor="t" upright="1"/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000000"/>
                        </a:solidFill>
                        <a:latin typeface="Aptos Narrow" charset="0"/>
                      </a:rPr>
                      <a:t>Action Buttons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1</xdr:row>
          <xdr:rowOff>12700</xdr:rowOff>
        </xdr:from>
        <xdr:to>
          <xdr:col>8</xdr:col>
          <xdr:colOff>1231900</xdr:colOff>
          <xdr:row>3</xdr:row>
          <xdr:rowOff>88900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Quick 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21</xdr:row>
          <xdr:rowOff>0</xdr:rowOff>
        </xdr:from>
        <xdr:to>
          <xdr:col>11</xdr:col>
          <xdr:colOff>228600</xdr:colOff>
          <xdr:row>22</xdr:row>
          <xdr:rowOff>177800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3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📊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15</xdr:row>
          <xdr:rowOff>25400</xdr:rowOff>
        </xdr:from>
        <xdr:to>
          <xdr:col>12</xdr:col>
          <xdr:colOff>368300</xdr:colOff>
          <xdr:row>17</xdr:row>
          <xdr:rowOff>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3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ple Color Emoji" charset="0"/>
                  <a:ea typeface="Apple Color Emoji" charset="0"/>
                </a:rPr>
                <a:t>❓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  <a:ea typeface="Apple Color Emoji" charset="0"/>
                </a:rPr>
                <a:t> Help</a:t>
              </a: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88900</xdr:colOff>
          <xdr:row>4</xdr:row>
          <xdr:rowOff>190500</xdr:rowOff>
        </xdr:from>
        <xdr:to>
          <xdr:col>15</xdr:col>
          <xdr:colOff>533400</xdr:colOff>
          <xdr:row>6</xdr:row>
          <xdr:rowOff>165100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2</xdr:row>
          <xdr:rowOff>177800</xdr:rowOff>
        </xdr:from>
        <xdr:to>
          <xdr:col>13</xdr:col>
          <xdr:colOff>520700</xdr:colOff>
          <xdr:row>4</xdr:row>
          <xdr:rowOff>152400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101600</xdr:rowOff>
        </xdr:from>
        <xdr:to>
          <xdr:col>13</xdr:col>
          <xdr:colOff>749300</xdr:colOff>
          <xdr:row>2</xdr:row>
          <xdr:rowOff>76200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8</xdr:row>
          <xdr:rowOff>165100</xdr:rowOff>
        </xdr:from>
        <xdr:to>
          <xdr:col>13</xdr:col>
          <xdr:colOff>533400</xdr:colOff>
          <xdr:row>10</xdr:row>
          <xdr:rowOff>139700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177800</xdr:rowOff>
        </xdr:from>
        <xdr:to>
          <xdr:col>15</xdr:col>
          <xdr:colOff>774700</xdr:colOff>
          <xdr:row>2</xdr:row>
          <xdr:rowOff>152400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22</xdr:row>
          <xdr:rowOff>63500</xdr:rowOff>
        </xdr:from>
        <xdr:to>
          <xdr:col>15</xdr:col>
          <xdr:colOff>558800</xdr:colOff>
          <xdr:row>24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673100</xdr:colOff>
          <xdr:row>23</xdr:row>
          <xdr:rowOff>50800</xdr:rowOff>
        </xdr:from>
        <xdr:to>
          <xdr:col>11</xdr:col>
          <xdr:colOff>546100</xdr:colOff>
          <xdr:row>25</xdr:row>
          <xdr:rowOff>25400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27</xdr:row>
          <xdr:rowOff>177800</xdr:rowOff>
        </xdr:from>
        <xdr:to>
          <xdr:col>11</xdr:col>
          <xdr:colOff>241300</xdr:colOff>
          <xdr:row>29</xdr:row>
          <xdr:rowOff>152400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749300</xdr:colOff>
          <xdr:row>19</xdr:row>
          <xdr:rowOff>114300</xdr:rowOff>
        </xdr:from>
        <xdr:to>
          <xdr:col>13</xdr:col>
          <xdr:colOff>622300</xdr:colOff>
          <xdr:row>21</xdr:row>
          <xdr:rowOff>88900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C5BC4-2D83-AC4B-98F7-AACACCC1D45C}">
  <sheetPr codeName="Sheet1"/>
  <dimension ref="A1:L39"/>
  <sheetViews>
    <sheetView tabSelected="1" workbookViewId="0">
      <selection activeCell="B13" sqref="B13"/>
    </sheetView>
  </sheetViews>
  <sheetFormatPr baseColWidth="10" defaultRowHeight="16" x14ac:dyDescent="0.2"/>
  <cols>
    <col min="1" max="1" width="14.1640625" bestFit="1" customWidth="1"/>
    <col min="2" max="2" width="11.5" bestFit="1" customWidth="1"/>
    <col min="3" max="3" width="11.6640625" bestFit="1" customWidth="1"/>
    <col min="4" max="4" width="22.5" bestFit="1" customWidth="1"/>
    <col min="5" max="5" width="17.83203125" customWidth="1"/>
    <col min="6" max="6" width="10.5" bestFit="1" customWidth="1"/>
    <col min="7" max="7" width="22.5" bestFit="1" customWidth="1"/>
    <col min="8" max="8" width="11.5" bestFit="1" customWidth="1"/>
    <col min="9" max="9" width="10.6640625" bestFit="1" customWidth="1"/>
    <col min="10" max="10" width="3.5" customWidth="1"/>
    <col min="11" max="11" width="2.1640625" customWidth="1"/>
    <col min="12" max="16" width="2.1640625" bestFit="1" customWidth="1"/>
    <col min="17" max="17" width="7.83203125" bestFit="1" customWidth="1"/>
  </cols>
  <sheetData>
    <row r="1" spans="1:12" ht="27" x14ac:dyDescent="0.35">
      <c r="A1" s="5" t="s">
        <v>153</v>
      </c>
      <c r="B1" s="18" t="s">
        <v>881</v>
      </c>
      <c r="D1" s="5" t="s">
        <v>156</v>
      </c>
      <c r="E1" s="5" t="s">
        <v>5</v>
      </c>
      <c r="G1" s="5" t="s">
        <v>157</v>
      </c>
      <c r="H1" s="5" t="s">
        <v>5</v>
      </c>
      <c r="I1" s="5" t="s">
        <v>886</v>
      </c>
      <c r="K1" s="15"/>
      <c r="L1" s="15"/>
    </row>
    <row r="2" spans="1:12" x14ac:dyDescent="0.2">
      <c r="A2" s="5" t="s">
        <v>154</v>
      </c>
      <c r="B2" t="s">
        <v>882</v>
      </c>
      <c r="D2" t="s">
        <v>158</v>
      </c>
      <c r="E2" s="28">
        <f>SUM('Business Expenses'!F:F)</f>
        <v>18175.12000000001</v>
      </c>
      <c r="G2" t="s">
        <v>159</v>
      </c>
      <c r="H2" s="28">
        <f>SUM('Business Expenses'!F:F)</f>
        <v>18175.12000000001</v>
      </c>
      <c r="I2" s="17">
        <f t="shared" ref="I2:I7" si="0">H2/$E$6</f>
        <v>0.47678773891039716</v>
      </c>
    </row>
    <row r="3" spans="1:12" x14ac:dyDescent="0.2">
      <c r="A3" s="5" t="s">
        <v>155</v>
      </c>
      <c r="B3" t="s">
        <v>883</v>
      </c>
      <c r="D3" t="s">
        <v>160</v>
      </c>
      <c r="E3" s="28">
        <f>SUM('Home Office'!E:E)</f>
        <v>403.39999999999986</v>
      </c>
      <c r="G3" t="s">
        <v>89</v>
      </c>
      <c r="H3" s="28">
        <f>SUM('Home Office'!E:E)</f>
        <v>403.39999999999986</v>
      </c>
      <c r="I3" s="17">
        <f t="shared" si="0"/>
        <v>1.0582388114986534E-2</v>
      </c>
    </row>
    <row r="4" spans="1:12" x14ac:dyDescent="0.2">
      <c r="D4" t="s">
        <v>884</v>
      </c>
      <c r="E4" s="28">
        <f>SUM('Vehicle &amp; Travel'!G:G)</f>
        <v>1273.0700000000002</v>
      </c>
      <c r="G4" t="s">
        <v>161</v>
      </c>
      <c r="H4" s="28">
        <f>SUM('Vehicle &amp; Travel'!G:G)</f>
        <v>1273.0700000000002</v>
      </c>
      <c r="I4" s="17">
        <f t="shared" si="0"/>
        <v>3.3396432418309155E-2</v>
      </c>
    </row>
    <row r="5" spans="1:12" x14ac:dyDescent="0.2">
      <c r="D5" t="s">
        <v>885</v>
      </c>
      <c r="E5" s="28" cm="1">
        <f t="array" ref="E5">SUM('Medical &amp; Health'!F2:F1000+'Charitable Contributions'!E2:E1000+'Investment &amp; Financial'!E2:E1000)</f>
        <v>18268.349999999999</v>
      </c>
      <c r="G5" t="s">
        <v>163</v>
      </c>
      <c r="H5" s="28">
        <f>SUM('Medical &amp; Health'!F:F)</f>
        <v>1384.9000000000003</v>
      </c>
      <c r="I5" s="17">
        <f t="shared" si="0"/>
        <v>3.6330067675867272E-2</v>
      </c>
    </row>
    <row r="6" spans="1:12" x14ac:dyDescent="0.2">
      <c r="B6" s="18"/>
      <c r="D6" t="s">
        <v>162</v>
      </c>
      <c r="E6" s="28">
        <f>SUM(E2:E5)</f>
        <v>38119.94000000001</v>
      </c>
      <c r="G6" t="s">
        <v>165</v>
      </c>
      <c r="H6" s="28">
        <f>SUM('Charitable Contributions'!E:E)</f>
        <v>6091.5</v>
      </c>
      <c r="I6" s="17">
        <f t="shared" si="0"/>
        <v>0.15979825781467646</v>
      </c>
    </row>
    <row r="7" spans="1:12" x14ac:dyDescent="0.2">
      <c r="D7" t="s">
        <v>164</v>
      </c>
      <c r="E7" t="str">
        <f>'Receipt Tracker'!N12</f>
        <v>⚠️ 3 receipts missing</v>
      </c>
      <c r="G7" t="s">
        <v>166</v>
      </c>
      <c r="H7" s="28">
        <f>SUM('Investment &amp; Financial'!E:E)</f>
        <v>10791.949999999999</v>
      </c>
      <c r="I7" s="17">
        <f t="shared" si="0"/>
        <v>0.28310511506576336</v>
      </c>
    </row>
    <row r="9" spans="1:12" x14ac:dyDescent="0.2">
      <c r="I9" s="17"/>
    </row>
    <row r="11" spans="1:12" x14ac:dyDescent="0.2">
      <c r="A11" s="41" t="s">
        <v>167</v>
      </c>
      <c r="B11" s="41"/>
      <c r="C11" s="41"/>
      <c r="D11" s="41"/>
      <c r="E11" s="41"/>
      <c r="F11" s="41"/>
      <c r="G11" s="41"/>
      <c r="H11" s="41"/>
      <c r="K11" s="16"/>
    </row>
    <row r="12" spans="1:12" x14ac:dyDescent="0.2">
      <c r="A12" s="5" t="s">
        <v>168</v>
      </c>
      <c r="B12" s="5" t="s">
        <v>169</v>
      </c>
      <c r="C12" s="5" t="s">
        <v>89</v>
      </c>
      <c r="D12" s="5" t="s">
        <v>170</v>
      </c>
      <c r="E12" s="5" t="s">
        <v>171</v>
      </c>
      <c r="F12" s="5" t="s">
        <v>165</v>
      </c>
      <c r="G12" s="5" t="s">
        <v>887</v>
      </c>
    </row>
    <row r="13" spans="1:12" x14ac:dyDescent="0.2">
      <c r="A13" t="s">
        <v>173</v>
      </c>
      <c r="B13" s="19">
        <f>SUMIFS('Business Expenses'!F:F,'Business Expenses'!A:A,"&gt;="&amp;DATE(2024,1,1),'Business Expenses'!A:A,"&lt;"&amp;DATE(2024,2,1))</f>
        <v>100.22</v>
      </c>
      <c r="C13" s="19">
        <f>SUMIFS('Home Office'!E:E,'Home Office'!A:A,"&gt;="&amp;DATE(2024,1,1),'Home Office'!A:A,"&lt;"&amp;DATE(2024,2,1))</f>
        <v>150</v>
      </c>
      <c r="D13" s="19">
        <f>SUMIFS('Vehicle &amp; Travel'!G:G,'Vehicle &amp; Travel'!A:A,"&gt;="&amp;DATE(2024,1,1),'Vehicle &amp; Travel'!A:A,"&lt;"&amp;DATE(2024,2,1))</f>
        <v>259.46000000000004</v>
      </c>
      <c r="E13" s="19">
        <f>SUMIFS('Medical &amp; Health'!F:F,'Medical &amp; Health'!A:A,"&gt;="&amp;DATE(2024,1,1),'Medical &amp; Health'!A:A,"&lt;"&amp;DATE(2024,2,1))</f>
        <v>60.67</v>
      </c>
      <c r="F13" s="19">
        <f>SUMIFS('Charitable Contributions'!E:E,'Charitable Contributions'!A:A,"&gt;="&amp;DATE(2024,1,1),'Charitable Contributions'!A:A,"&lt;"&amp;DATE(2024,2,1))</f>
        <v>650</v>
      </c>
      <c r="G13" s="19">
        <f>SUMIFS('Investment &amp; Financial'!E:E,'Investment &amp; Financial'!A:A,"&gt;="&amp;DATE(2024,1,1),'Investment &amp; Financial'!A:A,"&lt;"&amp;DATE(2024,2,1))</f>
        <v>1250</v>
      </c>
    </row>
    <row r="14" spans="1:12" x14ac:dyDescent="0.2">
      <c r="A14" t="s">
        <v>175</v>
      </c>
      <c r="B14" s="19">
        <f>SUMIFS('Business Expenses'!F:F,'Business Expenses'!A:A,"&gt;="&amp;DATE(2024,2,1),'Business Expenses'!A:A,"&lt;"&amp;DATE(2024,3,1))</f>
        <v>127.12</v>
      </c>
      <c r="C14" s="19">
        <f>SUMIFS('Home Office'!E:E,'Home Office'!A:A,"&gt;="&amp;DATE(2024,2,1),'Home Office'!A:A,"&lt;"&amp;DATE(2024,3,1))</f>
        <v>43.75</v>
      </c>
      <c r="D14" s="19">
        <f>SUMIFS('Vehicle &amp; Travel'!G:G,'Vehicle &amp; Travel'!A:A,"&gt;="&amp;DATE(2024,2,1),'Vehicle &amp; Travel'!A:A,"&lt;"&amp;DATE(2024,3,1))</f>
        <v>83.95</v>
      </c>
      <c r="E14" s="19">
        <f>SUMIFS('Medical &amp; Health'!F:F,'Medical &amp; Health'!A:A,"&gt;="&amp;DATE(2024,2,1),'Medical &amp; Health'!A:A,"&lt;"&amp;DATE(2024,3,1))</f>
        <v>55</v>
      </c>
      <c r="F14" s="19">
        <f>SUMIFS('Charitable Contributions'!E:E,'Charitable Contributions'!A:A,"&gt;="&amp;DATE(2024,2,1),'Charitable Contributions'!A:A,"&lt;"&amp;DATE(2024,3,1))</f>
        <v>300</v>
      </c>
      <c r="G14" s="19">
        <f>SUMIFS('Investment &amp; Financial'!E:E,'Investment &amp; Financial'!A:A,"&gt;="&amp;DATE(2024,2,1),'Investment &amp; Financial'!A:A,"&lt;"&amp;DATE(2024,3,1))</f>
        <v>560</v>
      </c>
    </row>
    <row r="15" spans="1:12" x14ac:dyDescent="0.2">
      <c r="A15" t="s">
        <v>176</v>
      </c>
      <c r="B15" s="19">
        <f>SUMIFS('Business Expenses'!F:F,'Business Expenses'!A:A,"&gt;="&amp;DATE(2024,3,1),'Business Expenses'!A:A,"&lt;"&amp;DATE(2024,4,1))</f>
        <v>1169</v>
      </c>
      <c r="C15" s="19">
        <f>SUMIFS('Home Office'!E:E,'Home Office'!A:A,"&gt;="&amp;DATE(2024,3,1),'Home Office'!A:A,"&lt;"&amp;DATE(2024,4,1))</f>
        <v>15.625</v>
      </c>
      <c r="D15" s="19">
        <f>SUMIFS('Vehicle &amp; Travel'!G:G,'Vehicle &amp; Travel'!A:A,"&gt;="&amp;DATE(2024,3,1),'Vehicle &amp; Travel'!A:A,"&lt;"&amp;DATE(2024,4,1))</f>
        <v>658.86</v>
      </c>
      <c r="E15" s="19">
        <f>SUMIFS('Medical &amp; Health'!F:F,'Medical &amp; Health'!A:A,"&gt;="&amp;DATE(2024,3,1),'Medical &amp; Health'!A:A,"&lt;"&amp;DATE(2024,4,1))</f>
        <v>275</v>
      </c>
      <c r="F15" s="19">
        <f>SUMIFS('Charitable Contributions'!E:E,'Charitable Contributions'!A:A,"&gt;="&amp;DATE(2024,3,1),'Charitable Contributions'!A:A,"&lt;"&amp;DATE(2024,4,1))</f>
        <v>1245.5</v>
      </c>
      <c r="G15" s="19">
        <f>SUMIFS('Investment &amp; Financial'!E:E,'Investment &amp; Financial'!A:A,"&gt;="&amp;DATE(2024,3,1),'Investment &amp; Financial'!A:A,"&lt;"&amp;DATE(2024,4,1))</f>
        <v>599</v>
      </c>
    </row>
    <row r="16" spans="1:12" x14ac:dyDescent="0.2">
      <c r="A16" t="s">
        <v>177</v>
      </c>
      <c r="B16" s="19">
        <f>SUMIFS('Business Expenses'!F:F,'Business Expenses'!A:A,"&gt;="&amp;DATE(2024,4,1),'Business Expenses'!A:A,"&lt;"&amp;DATE(2024,5,1))</f>
        <v>405.55</v>
      </c>
      <c r="C16" s="19">
        <f>SUMIFS('Home Office'!E:E,'Home Office'!A:A,"&gt;="&amp;DATE(2024,4,1),'Home Office'!A:A,"&lt;"&amp;DATE(2024,5,1))</f>
        <v>23.625</v>
      </c>
      <c r="D16" s="19">
        <f>SUMIFS('Vehicle &amp; Travel'!G:G,'Vehicle &amp; Travel'!A:A,"&gt;="&amp;DATE(2024,4,1),'Vehicle &amp; Travel'!A:A,"&lt;"&amp;DATE(2024,5,1))</f>
        <v>120.72</v>
      </c>
      <c r="E16" s="19">
        <f>SUMIFS('Medical &amp; Health'!F:F,'Medical &amp; Health'!A:A,"&gt;="&amp;DATE(2024,4,1),'Medical &amp; Health'!A:A,"&lt;"&amp;DATE(2024,5,1))</f>
        <v>83.99</v>
      </c>
      <c r="F16" s="19">
        <f>SUMIFS('Charitable Contributions'!E:E,'Charitable Contributions'!A:A,"&gt;="&amp;DATE(2024,4,1),'Charitable Contributions'!A:A,"&lt;"&amp;DATE(2024,5,1))</f>
        <v>275</v>
      </c>
      <c r="G16" s="19">
        <f>SUMIFS('Investment &amp; Financial'!E:E,'Investment &amp; Financial'!A:A,"&gt;="&amp;DATE(2024,4,1),'Investment &amp; Financial'!A:A,"&lt;"&amp;DATE(2024,5,1))</f>
        <v>234.99</v>
      </c>
    </row>
    <row r="17" spans="1:7" x14ac:dyDescent="0.2">
      <c r="A17" t="s">
        <v>178</v>
      </c>
      <c r="B17" s="19">
        <f>SUMIFS('Business Expenses'!F:F,'Business Expenses'!A:A,"&gt;="&amp;DATE(2024,5,1),'Business Expenses'!A:A,"&lt;"&amp;DATE(2024,6,1))</f>
        <v>226.99</v>
      </c>
      <c r="C17" s="19">
        <f>SUMIFS('Home Office'!E:E,'Home Office'!A:A,"&gt;="&amp;DATE(2024,5,1),'Home Office'!A:A,"&lt;"&amp;DATE(2024,6,1))</f>
        <v>8.375</v>
      </c>
      <c r="D17" s="19">
        <f>SUMIFS('Vehicle &amp; Travel'!G:G,'Vehicle &amp; Travel'!A:A,"&gt;="&amp;DATE(2024,5,1),'Vehicle &amp; Travel'!A:A,"&lt;"&amp;DATE(2024,6,1))</f>
        <v>86.43</v>
      </c>
      <c r="E17" s="19">
        <f>SUMIFS('Medical &amp; Health'!F:F,'Medical &amp; Health'!A:A,"&gt;="&amp;DATE(2024,5,1),'Medical &amp; Health'!A:A,"&lt;"&amp;DATE(2024,6,1))</f>
        <v>46.95</v>
      </c>
      <c r="F17" s="19">
        <f>SUMIFS('Charitable Contributions'!E:E,'Charitable Contributions'!A:A,"&gt;="&amp;DATE(2024,5,1),'Charitable Contributions'!A:A,"&lt;"&amp;DATE(2024,6,1))</f>
        <v>750</v>
      </c>
      <c r="G17" s="19">
        <f>SUMIFS('Investment &amp; Financial'!E:E,'Investment &amp; Financial'!A:A,"&gt;="&amp;DATE(2024,5,1),'Investment &amp; Financial'!A:A,"&lt;"&amp;DATE(2024,6,1))</f>
        <v>789.99</v>
      </c>
    </row>
    <row r="18" spans="1:7" x14ac:dyDescent="0.2">
      <c r="A18" t="s">
        <v>179</v>
      </c>
      <c r="B18" s="19">
        <f>SUMIFS('Business Expenses'!F:F,'Business Expenses'!A:A,"&gt;="&amp;DATE(2024,6,1),'Business Expenses'!A:A,"&lt;"&amp;DATE(2024,7,1))</f>
        <v>628.78</v>
      </c>
      <c r="C18" s="19">
        <f>SUMIFS('Home Office'!E:E,'Home Office'!A:A,"&gt;="&amp;DATE(2024,6,1),'Home Office'!A:A,"&lt;"&amp;DATE(2024,7,1))</f>
        <v>9.875</v>
      </c>
      <c r="D18" s="19">
        <f>SUMIFS('Vehicle &amp; Travel'!G:G,'Vehicle &amp; Travel'!A:A,"&gt;="&amp;DATE(2024,6,1),'Vehicle &amp; Travel'!A:A,"&lt;"&amp;DATE(2024,7,1))</f>
        <v>63.650000000000006</v>
      </c>
      <c r="E18" s="19">
        <f>SUMIFS('Medical &amp; Health'!F:F,'Medical &amp; Health'!A:A,"&gt;="&amp;DATE(2024,6,1),'Medical &amp; Health'!A:A,"&lt;"&amp;DATE(2024,7,1))</f>
        <v>145</v>
      </c>
      <c r="F18" s="19">
        <f>SUMIFS('Charitable Contributions'!E:E,'Charitable Contributions'!A:A,"&gt;="&amp;DATE(2024,6,1),'Charitable Contributions'!A:A,"&lt;"&amp;DATE(2024,7,1))</f>
        <v>350</v>
      </c>
      <c r="G18" s="19">
        <f>SUMIFS('Investment &amp; Financial'!E:E,'Investment &amp; Financial'!A:A,"&gt;="&amp;DATE(2024,6,1),'Investment &amp; Financial'!A:A,"&lt;"&amp;DATE(2024,7,1))</f>
        <v>228.99</v>
      </c>
    </row>
    <row r="19" spans="1:7" x14ac:dyDescent="0.2">
      <c r="A19" t="s">
        <v>180</v>
      </c>
      <c r="B19" s="19">
        <f>SUMIFS('Business Expenses'!F:F,'Business Expenses'!A:A,"&gt;="&amp;DATE(2024,7,1),'Business Expenses'!A:A,"&lt;"&amp;DATE(2024,8,1))</f>
        <v>134.99</v>
      </c>
      <c r="C19" s="19">
        <f>SUMIFS('Home Office'!E:E,'Home Office'!A:A,"&gt;="&amp;DATE(2024,7,1),'Home Office'!A:A,"&lt;"&amp;DATE(2024,8,1))</f>
        <v>56.25</v>
      </c>
      <c r="D19" s="19">
        <f>SUMIFS('Vehicle &amp; Travel'!G:G,'Vehicle &amp; Travel'!A:A,"&gt;="&amp;DATE(2024,7,1),'Vehicle &amp; Travel'!A:A,"&lt;"&amp;DATE(2024,8,1))</f>
        <v>0</v>
      </c>
      <c r="E19" s="19">
        <f>SUMIFS('Medical &amp; Health'!F:F,'Medical &amp; Health'!A:A,"&gt;="&amp;DATE(2024,7,1),'Medical &amp; Health'!A:A,"&lt;"&amp;DATE(2024,8,1))</f>
        <v>52.879999999999995</v>
      </c>
      <c r="F19" s="19">
        <f>SUMIFS('Charitable Contributions'!E:E,'Charitable Contributions'!A:A,"&gt;="&amp;DATE(2024,7,1),'Charitable Contributions'!A:A,"&lt;"&amp;DATE(2024,8,1))</f>
        <v>375</v>
      </c>
      <c r="G19" s="19">
        <f>SUMIFS('Investment &amp; Financial'!E:E,'Investment &amp; Financial'!A:A,"&gt;="&amp;DATE(2024,7,1),'Investment &amp; Financial'!A:A,"&lt;"&amp;DATE(2024,8,1))</f>
        <v>1625</v>
      </c>
    </row>
    <row r="20" spans="1:7" x14ac:dyDescent="0.2">
      <c r="A20" t="s">
        <v>181</v>
      </c>
      <c r="B20" s="19">
        <f>SUMIFS('Business Expenses'!F:F,'Business Expenses'!A:A,"&gt;="&amp;DATE(2024,8,1),'Business Expenses'!A:A,"&lt;"&amp;DATE(2024,9,1))</f>
        <v>1344</v>
      </c>
      <c r="C20" s="19">
        <f>SUMIFS('Home Office'!E:E,'Home Office'!A:A,"&gt;="&amp;DATE(2024,8,1),'Home Office'!A:A,"&lt;"&amp;DATE(2024,9,1))</f>
        <v>28.125</v>
      </c>
      <c r="D20" s="19">
        <f>SUMIFS('Vehicle &amp; Travel'!G:G,'Vehicle &amp; Travel'!A:A,"&gt;="&amp;DATE(2024,8,1),'Vehicle &amp; Travel'!A:A,"&lt;"&amp;DATE(2024,9,1))</f>
        <v>0</v>
      </c>
      <c r="E20" s="19">
        <f>SUMIFS('Medical &amp; Health'!F:F,'Medical &amp; Health'!A:A,"&gt;="&amp;DATE(2024,8,1),'Medical &amp; Health'!A:A,"&lt;"&amp;DATE(2024,9,1))</f>
        <v>440</v>
      </c>
      <c r="F20" s="19">
        <f>SUMIFS('Charitable Contributions'!E:E,'Charitable Contributions'!A:A,"&gt;="&amp;DATE(2024,8,1),'Charitable Contributions'!A:A,"&lt;"&amp;DATE(2024,9,1))</f>
        <v>325</v>
      </c>
      <c r="G20" s="19">
        <f>SUMIFS('Investment &amp; Financial'!E:E,'Investment &amp; Financial'!A:A,"&gt;="&amp;DATE(2024,8,1),'Investment &amp; Financial'!A:A,"&lt;"&amp;DATE(2024,9,1))</f>
        <v>2450</v>
      </c>
    </row>
    <row r="21" spans="1:7" x14ac:dyDescent="0.2">
      <c r="A21" t="s">
        <v>182</v>
      </c>
      <c r="B21" s="19">
        <f>SUMIFS('Business Expenses'!F:F,'Business Expenses'!A:A,"&gt;="&amp;DATE(2024,9,1),'Business Expenses'!A:A,"&lt;"&amp;DATE(2024,10,1))</f>
        <v>360</v>
      </c>
      <c r="C21" s="19">
        <f>SUMIFS('Home Office'!E:E,'Home Office'!A:A,"&gt;="&amp;DATE(2024,9,1),'Home Office'!A:A,"&lt;"&amp;DATE(2024,10,1))</f>
        <v>19.5</v>
      </c>
      <c r="D21" s="19">
        <f>SUMIFS('Vehicle &amp; Travel'!G:G,'Vehicle &amp; Travel'!A:A,"&gt;="&amp;DATE(2024,9,1),'Vehicle &amp; Travel'!A:A,"&lt;"&amp;DATE(2024,10,1))</f>
        <v>0</v>
      </c>
      <c r="E21" s="19">
        <f>SUMIFS('Medical &amp; Health'!F:F,'Medical &amp; Health'!A:A,"&gt;="&amp;DATE(2024,9,1),'Medical &amp; Health'!A:A,"&lt;"&amp;DATE(2024,10,1))</f>
        <v>45.99</v>
      </c>
      <c r="F21" s="19">
        <f>SUMIFS('Charitable Contributions'!E:E,'Charitable Contributions'!A:A,"&gt;="&amp;DATE(2024,9,1),'Charitable Contributions'!A:A,"&lt;"&amp;DATE(2024,10,1))</f>
        <v>600</v>
      </c>
      <c r="G21" s="19">
        <f>SUMIFS('Investment &amp; Financial'!E:E,'Investment &amp; Financial'!A:A,"&gt;="&amp;DATE(2024,9,1),'Investment &amp; Financial'!A:A,"&lt;"&amp;DATE(2024,10,1))</f>
        <v>108.99</v>
      </c>
    </row>
    <row r="22" spans="1:7" x14ac:dyDescent="0.2">
      <c r="A22" t="s">
        <v>183</v>
      </c>
      <c r="B22" s="19">
        <f>SUMIFS('Business Expenses'!F:F,'Business Expenses'!A:A,"&gt;="&amp;DATE(2024,10,1),'Business Expenses'!A:A,"&lt;"&amp;DATE(2024,11,1))</f>
        <v>223.5</v>
      </c>
      <c r="C22" s="19">
        <f>SUMIFS('Home Office'!E:E,'Home Office'!A:A,"&gt;="&amp;DATE(2024,10,1),'Home Office'!A:A,"&lt;"&amp;DATE(2024,11,1))</f>
        <v>5.625</v>
      </c>
      <c r="D22" s="19">
        <f>SUMIFS('Vehicle &amp; Travel'!G:G,'Vehicle &amp; Travel'!A:A,"&gt;="&amp;DATE(2024,10,1),'Vehicle &amp; Travel'!A:A,"&lt;"&amp;DATE(2024,11,1))</f>
        <v>0</v>
      </c>
      <c r="E22" s="19">
        <f>SUMIFS('Medical &amp; Health'!F:F,'Medical &amp; Health'!A:A,"&gt;="&amp;DATE(2024,10,1),'Medical &amp; Health'!A:A,"&lt;"&amp;DATE(2024,11,1))</f>
        <v>75</v>
      </c>
      <c r="F22" s="19">
        <f>SUMIFS('Charitable Contributions'!E:E,'Charitable Contributions'!A:A,"&gt;="&amp;DATE(2024,10,1),'Charitable Contributions'!A:A,"&lt;"&amp;DATE(2024,11,1))</f>
        <v>500</v>
      </c>
      <c r="G22" s="19">
        <f>SUMIFS('Investment &amp; Financial'!E:E,'Investment &amp; Financial'!A:A,"&gt;="&amp;DATE(2024,10,1),'Investment &amp; Financial'!A:A,"&lt;"&amp;DATE(2024,11,1))</f>
        <v>870</v>
      </c>
    </row>
    <row r="23" spans="1:7" x14ac:dyDescent="0.2">
      <c r="A23" t="s">
        <v>184</v>
      </c>
      <c r="B23" s="19">
        <f>SUMIFS('Business Expenses'!F:F,'Business Expenses'!A:A,"&gt;="&amp;DATE(2024,11,1),'Business Expenses'!A:A,"&lt;"&amp;DATE(2024,12,1))</f>
        <v>444</v>
      </c>
      <c r="C23" s="19">
        <f>SUMIFS('Home Office'!E:E,'Home Office'!A:A,"&gt;="&amp;DATE(2024,11,1),'Home Office'!A:A,"&lt;"&amp;DATE(2024,12,1))</f>
        <v>22.25</v>
      </c>
      <c r="D23" s="19">
        <f>SUMIFS('Vehicle &amp; Travel'!G:G,'Vehicle &amp; Travel'!A:A,"&gt;="&amp;DATE(2024,11,1),'Vehicle &amp; Travel'!A:A,"&lt;"&amp;DATE(2024,12,1))</f>
        <v>0</v>
      </c>
      <c r="E23" s="19">
        <f>SUMIFS('Medical &amp; Health'!F:F,'Medical &amp; Health'!A:A,"&gt;="&amp;DATE(2024,11,1),'Medical &amp; Health'!A:A,"&lt;"&amp;DATE(2024,12,1))</f>
        <v>53.75</v>
      </c>
      <c r="F23" s="19">
        <f>SUMIFS('Charitable Contributions'!E:E,'Charitable Contributions'!A:A,"&gt;="&amp;DATE(2024,11,1),'Charitable Contributions'!A:A,"&lt;"&amp;DATE(2024,12,1))</f>
        <v>221</v>
      </c>
      <c r="G23" s="19">
        <f>SUMIFS('Investment &amp; Financial'!E:E,'Investment &amp; Financial'!A:A,"&gt;="&amp;DATE(2024,11,1),'Investment &amp; Financial'!A:A,"&lt;"&amp;DATE(2024,12,1))</f>
        <v>695</v>
      </c>
    </row>
    <row r="24" spans="1:7" x14ac:dyDescent="0.2">
      <c r="A24" t="s">
        <v>185</v>
      </c>
      <c r="B24" s="19">
        <f>SUMIFS('Business Expenses'!F:F,'Business Expenses'!A:A,"&gt;="&amp;DATE(2024,12,1),'Business Expenses'!A:A,"&lt;"&amp;DATE(2025,1,1))</f>
        <v>784.45</v>
      </c>
      <c r="C24" s="19">
        <f>SUMIFS('Home Office'!E:E,'Home Office'!A:A,"&gt;="&amp;DATE(2024,12,1),'Home Office'!A:A,"&lt;"&amp;DATE(2025,1,1))</f>
        <v>15</v>
      </c>
      <c r="D24" s="19">
        <f>SUMIFS('Vehicle &amp; Travel'!G:G,'Vehicle &amp; Travel'!A:A,"&gt;="&amp;DATE(2024,12,1),'Vehicle &amp; Travel'!A:A,"&lt;"&amp;DATE(2025,1,1))</f>
        <v>0</v>
      </c>
      <c r="E24" s="19">
        <f>SUMIFS('Medical &amp; Health'!F:F,'Medical &amp; Health'!A:A,"&gt;="&amp;DATE(2024,12,1),'Medical &amp; Health'!A:A,"&lt;"&amp;DATE(2025,1,1))</f>
        <v>50.67</v>
      </c>
      <c r="F24" s="19">
        <f>SUMIFS('Charitable Contributions'!E:E,'Charitable Contributions'!A:A,"&gt;="&amp;DATE(2024,12,1),'Charitable Contributions'!A:A,"&lt;"&amp;DATE(2025,1,1))</f>
        <v>500</v>
      </c>
      <c r="G24" s="19">
        <f>SUMIFS('Investment &amp; Financial'!E:E,'Investment &amp; Financial'!A:A,"&gt;="&amp;DATE(2024,12,1),'Investment &amp; Financial'!A:A,"&lt;"&amp;DATE(2025,1,1))</f>
        <v>479.99</v>
      </c>
    </row>
    <row r="34" spans="1:11" x14ac:dyDescent="0.2">
      <c r="A34" s="1"/>
    </row>
    <row r="38" spans="1:11" x14ac:dyDescent="0.2">
      <c r="K38" s="17"/>
    </row>
    <row r="39" spans="1:11" x14ac:dyDescent="0.2">
      <c r="G39" s="18"/>
    </row>
  </sheetData>
  <mergeCells count="1">
    <mergeCell ref="A11:H1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RefreshAll">
                <anchor moveWithCells="1" sizeWithCells="1">
                  <from>
                    <xdr:col>15</xdr:col>
                    <xdr:colOff>127000</xdr:colOff>
                    <xdr:row>8</xdr:row>
                    <xdr:rowOff>139700</xdr:rowOff>
                  </from>
                  <to>
                    <xdr:col>18</xdr:col>
                    <xdr:colOff>63500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Help">
                <anchor moveWithCells="1" sizeWithCells="1">
                  <from>
                    <xdr:col>16</xdr:col>
                    <xdr:colOff>25400</xdr:colOff>
                    <xdr:row>0</xdr:row>
                    <xdr:rowOff>241300</xdr:rowOff>
                  </from>
                  <to>
                    <xdr:col>18</xdr:col>
                    <xdr:colOff>127000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martBackup">
                <anchor moveWithCells="1" sizeWithCells="1">
                  <from>
                    <xdr:col>15</xdr:col>
                    <xdr:colOff>63500</xdr:colOff>
                    <xdr:row>19</xdr:row>
                    <xdr:rowOff>63500</xdr:rowOff>
                  </from>
                  <to>
                    <xdr:col>18</xdr:col>
                    <xdr:colOff>0</xdr:colOff>
                    <xdr:row>21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erateYearEndReport">
                <anchor moveWithCells="1" sizeWithCells="1">
                  <from>
                    <xdr:col>16</xdr:col>
                    <xdr:colOff>12700</xdr:colOff>
                    <xdr:row>5</xdr:row>
                    <xdr:rowOff>25400</xdr:rowOff>
                  </from>
                  <to>
                    <xdr:col>18</xdr:col>
                    <xdr:colOff>114300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QuickNavigation">
                <anchor moveWithCells="1" sizeWithCells="1">
                  <from>
                    <xdr:col>15</xdr:col>
                    <xdr:colOff>152400</xdr:colOff>
                    <xdr:row>12</xdr:row>
                    <xdr:rowOff>127000</xdr:rowOff>
                  </from>
                  <to>
                    <xdr:col>18</xdr:col>
                    <xdr:colOff>88900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2E51F-2A9A-B44B-825B-B745F549FC9F}">
  <sheetPr codeName="Sheet13"/>
  <dimension ref="A1:L16"/>
  <sheetViews>
    <sheetView workbookViewId="0">
      <selection activeCell="B24" sqref="B24"/>
    </sheetView>
  </sheetViews>
  <sheetFormatPr baseColWidth="10" defaultRowHeight="16" x14ac:dyDescent="0.2"/>
  <cols>
    <col min="1" max="1" width="11.33203125" bestFit="1" customWidth="1"/>
    <col min="2" max="2" width="21.5" bestFit="1" customWidth="1"/>
    <col min="3" max="3" width="18.1640625" bestFit="1" customWidth="1"/>
    <col min="4" max="4" width="25.1640625" bestFit="1" customWidth="1"/>
    <col min="5" max="5" width="9" style="19" bestFit="1" customWidth="1"/>
    <col min="6" max="6" width="10.6640625" bestFit="1" customWidth="1"/>
    <col min="7" max="7" width="11.83203125" bestFit="1" customWidth="1"/>
    <col min="8" max="8" width="12" bestFit="1" customWidth="1"/>
    <col min="9" max="9" width="22.5" bestFit="1" customWidth="1"/>
    <col min="10" max="10" width="10.6640625" bestFit="1" customWidth="1"/>
    <col min="11" max="11" width="9.6640625" bestFit="1" customWidth="1"/>
    <col min="12" max="12" width="37.6640625" bestFit="1" customWidth="1"/>
  </cols>
  <sheetData>
    <row r="1" spans="1:12" s="32" customFormat="1" x14ac:dyDescent="0.2">
      <c r="A1" s="31" t="s">
        <v>889</v>
      </c>
      <c r="B1" s="31" t="s">
        <v>2</v>
      </c>
      <c r="C1" s="31" t="s">
        <v>1</v>
      </c>
      <c r="D1" s="31" t="s">
        <v>3</v>
      </c>
      <c r="E1" s="37" t="s">
        <v>5</v>
      </c>
      <c r="F1" s="31" t="s">
        <v>4</v>
      </c>
      <c r="G1" s="31" t="s">
        <v>890</v>
      </c>
      <c r="H1" s="31" t="s">
        <v>891</v>
      </c>
      <c r="I1" s="31" t="s">
        <v>892</v>
      </c>
      <c r="J1" s="31" t="s">
        <v>893</v>
      </c>
      <c r="K1" s="31" t="s">
        <v>894</v>
      </c>
      <c r="L1" s="31" t="s">
        <v>489</v>
      </c>
    </row>
    <row r="2" spans="1:12" x14ac:dyDescent="0.2">
      <c r="A2">
        <v>1</v>
      </c>
      <c r="B2" t="s">
        <v>895</v>
      </c>
      <c r="C2" t="s">
        <v>54</v>
      </c>
      <c r="D2" t="s">
        <v>13</v>
      </c>
      <c r="E2" s="19">
        <v>22</v>
      </c>
      <c r="F2" s="2">
        <v>1</v>
      </c>
      <c r="G2">
        <v>25</v>
      </c>
      <c r="H2" t="s">
        <v>896</v>
      </c>
      <c r="I2" t="s">
        <v>159</v>
      </c>
      <c r="J2">
        <v>1</v>
      </c>
      <c r="K2">
        <v>12</v>
      </c>
      <c r="L2" t="s">
        <v>897</v>
      </c>
    </row>
    <row r="3" spans="1:12" x14ac:dyDescent="0.2">
      <c r="A3">
        <v>2</v>
      </c>
      <c r="B3" t="s">
        <v>898</v>
      </c>
      <c r="C3" t="s">
        <v>14</v>
      </c>
      <c r="D3" t="s">
        <v>13</v>
      </c>
      <c r="E3" s="19">
        <v>25</v>
      </c>
      <c r="F3" s="2">
        <v>1</v>
      </c>
      <c r="G3">
        <v>5</v>
      </c>
      <c r="H3" t="s">
        <v>896</v>
      </c>
      <c r="I3" t="s">
        <v>159</v>
      </c>
      <c r="J3">
        <v>1</v>
      </c>
      <c r="K3">
        <v>12</v>
      </c>
      <c r="L3" t="s">
        <v>899</v>
      </c>
    </row>
    <row r="4" spans="1:12" x14ac:dyDescent="0.2">
      <c r="A4">
        <v>3</v>
      </c>
      <c r="B4" t="s">
        <v>900</v>
      </c>
      <c r="C4" t="s">
        <v>22</v>
      </c>
      <c r="D4" t="s">
        <v>24</v>
      </c>
      <c r="E4" s="19">
        <v>125</v>
      </c>
      <c r="F4" s="2">
        <v>0.8</v>
      </c>
      <c r="G4">
        <v>1</v>
      </c>
      <c r="H4" t="s">
        <v>896</v>
      </c>
      <c r="I4" t="s">
        <v>159</v>
      </c>
      <c r="J4">
        <v>1</v>
      </c>
      <c r="K4">
        <v>12</v>
      </c>
      <c r="L4" t="s">
        <v>901</v>
      </c>
    </row>
    <row r="5" spans="1:12" x14ac:dyDescent="0.2">
      <c r="A5">
        <v>4</v>
      </c>
      <c r="B5" t="s">
        <v>49</v>
      </c>
      <c r="C5" t="s">
        <v>902</v>
      </c>
      <c r="D5" t="s">
        <v>51</v>
      </c>
      <c r="E5" s="19">
        <v>450</v>
      </c>
      <c r="F5" s="2">
        <v>1</v>
      </c>
      <c r="G5">
        <v>1</v>
      </c>
      <c r="H5" t="s">
        <v>896</v>
      </c>
      <c r="I5" t="s">
        <v>159</v>
      </c>
      <c r="J5">
        <v>1</v>
      </c>
      <c r="K5">
        <v>12</v>
      </c>
      <c r="L5" t="s">
        <v>903</v>
      </c>
    </row>
    <row r="6" spans="1:12" x14ac:dyDescent="0.2">
      <c r="A6">
        <v>5</v>
      </c>
      <c r="B6" t="s">
        <v>38</v>
      </c>
      <c r="C6" t="s">
        <v>904</v>
      </c>
      <c r="D6" t="s">
        <v>40</v>
      </c>
      <c r="E6" s="19">
        <v>156</v>
      </c>
      <c r="F6" s="2">
        <v>1</v>
      </c>
      <c r="G6">
        <v>15</v>
      </c>
      <c r="H6" t="s">
        <v>896</v>
      </c>
      <c r="I6" t="s">
        <v>159</v>
      </c>
      <c r="J6">
        <v>1</v>
      </c>
      <c r="K6">
        <v>12</v>
      </c>
      <c r="L6" t="s">
        <v>905</v>
      </c>
    </row>
    <row r="7" spans="1:12" x14ac:dyDescent="0.2">
      <c r="A7">
        <v>6</v>
      </c>
      <c r="B7" t="s">
        <v>906</v>
      </c>
      <c r="C7" t="s">
        <v>36</v>
      </c>
      <c r="D7" t="s">
        <v>13</v>
      </c>
      <c r="E7" s="19">
        <v>14.99</v>
      </c>
      <c r="F7" s="2">
        <v>1</v>
      </c>
      <c r="G7">
        <v>18</v>
      </c>
      <c r="H7" t="s">
        <v>896</v>
      </c>
      <c r="I7" t="s">
        <v>159</v>
      </c>
      <c r="J7">
        <v>1</v>
      </c>
      <c r="K7">
        <v>12</v>
      </c>
      <c r="L7" t="s">
        <v>907</v>
      </c>
    </row>
    <row r="8" spans="1:12" x14ac:dyDescent="0.2">
      <c r="A8">
        <v>7</v>
      </c>
      <c r="B8" t="s">
        <v>908</v>
      </c>
      <c r="C8" t="s">
        <v>11</v>
      </c>
      <c r="D8" t="s">
        <v>13</v>
      </c>
      <c r="E8" s="19">
        <v>52.99</v>
      </c>
      <c r="F8" s="2">
        <v>1</v>
      </c>
      <c r="G8">
        <v>22</v>
      </c>
      <c r="H8" t="s">
        <v>896</v>
      </c>
      <c r="I8" t="s">
        <v>159</v>
      </c>
      <c r="J8">
        <v>1</v>
      </c>
      <c r="K8">
        <v>12</v>
      </c>
      <c r="L8" t="s">
        <v>909</v>
      </c>
    </row>
    <row r="9" spans="1:12" x14ac:dyDescent="0.2">
      <c r="A9">
        <v>8</v>
      </c>
      <c r="B9" t="s">
        <v>70</v>
      </c>
      <c r="C9" t="s">
        <v>910</v>
      </c>
      <c r="D9" t="s">
        <v>30</v>
      </c>
      <c r="E9" s="19">
        <v>12.99</v>
      </c>
      <c r="F9" s="2">
        <v>1</v>
      </c>
      <c r="G9">
        <v>12</v>
      </c>
      <c r="H9" t="s">
        <v>896</v>
      </c>
      <c r="I9" t="s">
        <v>159</v>
      </c>
      <c r="J9">
        <v>1</v>
      </c>
      <c r="K9">
        <v>12</v>
      </c>
      <c r="L9" t="s">
        <v>911</v>
      </c>
    </row>
    <row r="10" spans="1:12" x14ac:dyDescent="0.2">
      <c r="A10">
        <v>9</v>
      </c>
      <c r="B10" t="s">
        <v>64</v>
      </c>
      <c r="C10" t="s">
        <v>260</v>
      </c>
      <c r="D10" t="s">
        <v>33</v>
      </c>
      <c r="E10" s="19">
        <v>275</v>
      </c>
      <c r="F10" s="2">
        <v>1</v>
      </c>
      <c r="G10">
        <v>1</v>
      </c>
      <c r="H10" t="s">
        <v>896</v>
      </c>
      <c r="I10" t="s">
        <v>159</v>
      </c>
      <c r="J10">
        <v>1</v>
      </c>
      <c r="K10">
        <v>1</v>
      </c>
      <c r="L10" t="s">
        <v>47</v>
      </c>
    </row>
    <row r="11" spans="1:12" x14ac:dyDescent="0.2">
      <c r="A11">
        <v>10</v>
      </c>
      <c r="B11" t="s">
        <v>58</v>
      </c>
      <c r="C11" t="s">
        <v>912</v>
      </c>
      <c r="D11" t="s">
        <v>48</v>
      </c>
      <c r="E11" s="19">
        <v>39.99</v>
      </c>
      <c r="F11" s="2">
        <v>1</v>
      </c>
      <c r="G11">
        <v>15</v>
      </c>
      <c r="H11" t="s">
        <v>896</v>
      </c>
      <c r="I11" t="s">
        <v>159</v>
      </c>
      <c r="J11">
        <v>1</v>
      </c>
      <c r="K11">
        <v>12</v>
      </c>
      <c r="L11" t="s">
        <v>913</v>
      </c>
    </row>
    <row r="12" spans="1:12" x14ac:dyDescent="0.2">
      <c r="A12">
        <v>11</v>
      </c>
      <c r="B12" t="s">
        <v>914</v>
      </c>
      <c r="C12" t="s">
        <v>915</v>
      </c>
      <c r="D12" t="s">
        <v>43</v>
      </c>
      <c r="E12" s="19">
        <v>12</v>
      </c>
      <c r="F12" s="2">
        <v>1</v>
      </c>
      <c r="G12">
        <v>30</v>
      </c>
      <c r="H12" t="s">
        <v>896</v>
      </c>
      <c r="I12" t="s">
        <v>159</v>
      </c>
      <c r="J12">
        <v>1</v>
      </c>
      <c r="K12">
        <v>12</v>
      </c>
      <c r="L12" t="s">
        <v>916</v>
      </c>
    </row>
    <row r="13" spans="1:12" x14ac:dyDescent="0.2">
      <c r="A13">
        <v>12</v>
      </c>
      <c r="B13" t="s">
        <v>917</v>
      </c>
      <c r="C13" t="s">
        <v>918</v>
      </c>
      <c r="D13" t="s">
        <v>76</v>
      </c>
      <c r="E13" s="19">
        <v>85</v>
      </c>
      <c r="F13" s="2">
        <v>1</v>
      </c>
      <c r="G13">
        <v>1</v>
      </c>
      <c r="H13" t="s">
        <v>896</v>
      </c>
      <c r="I13" t="s">
        <v>159</v>
      </c>
      <c r="J13">
        <v>1</v>
      </c>
      <c r="K13">
        <v>12</v>
      </c>
      <c r="L13" t="s">
        <v>919</v>
      </c>
    </row>
    <row r="14" spans="1:12" x14ac:dyDescent="0.2">
      <c r="A14">
        <v>13</v>
      </c>
      <c r="B14" t="s">
        <v>920</v>
      </c>
      <c r="C14" t="s">
        <v>921</v>
      </c>
      <c r="D14" t="s">
        <v>13</v>
      </c>
      <c r="E14" s="19">
        <v>15</v>
      </c>
      <c r="F14" s="2">
        <v>1</v>
      </c>
      <c r="G14">
        <v>20</v>
      </c>
      <c r="H14" t="s">
        <v>896</v>
      </c>
      <c r="I14" t="s">
        <v>166</v>
      </c>
      <c r="J14">
        <v>1</v>
      </c>
      <c r="K14">
        <v>12</v>
      </c>
      <c r="L14" t="s">
        <v>922</v>
      </c>
    </row>
    <row r="15" spans="1:12" x14ac:dyDescent="0.2">
      <c r="A15">
        <v>14</v>
      </c>
      <c r="B15" t="s">
        <v>923</v>
      </c>
      <c r="C15" t="s">
        <v>924</v>
      </c>
      <c r="D15" t="s">
        <v>21</v>
      </c>
      <c r="E15" s="19">
        <v>45</v>
      </c>
      <c r="F15" s="2">
        <v>1</v>
      </c>
      <c r="G15">
        <v>10</v>
      </c>
      <c r="H15" t="s">
        <v>896</v>
      </c>
      <c r="I15" t="s">
        <v>89</v>
      </c>
      <c r="J15">
        <v>1</v>
      </c>
      <c r="K15">
        <v>12</v>
      </c>
      <c r="L15" t="s">
        <v>925</v>
      </c>
    </row>
    <row r="16" spans="1:12" x14ac:dyDescent="0.2">
      <c r="A16">
        <v>15</v>
      </c>
      <c r="B16" t="s">
        <v>926</v>
      </c>
      <c r="C16" t="s">
        <v>927</v>
      </c>
      <c r="D16" t="s">
        <v>24</v>
      </c>
      <c r="E16" s="19">
        <v>89.99</v>
      </c>
      <c r="F16" s="2">
        <v>0.75</v>
      </c>
      <c r="G16">
        <v>28</v>
      </c>
      <c r="H16" t="s">
        <v>896</v>
      </c>
      <c r="I16" t="s">
        <v>929</v>
      </c>
      <c r="J16">
        <v>1</v>
      </c>
      <c r="K16">
        <v>12</v>
      </c>
      <c r="L16" t="s">
        <v>928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7DCA8-BAAC-4644-B581-642CC8C9CFA7}">
  <sheetPr codeName="Sheet2"/>
  <dimension ref="A1:J201"/>
  <sheetViews>
    <sheetView workbookViewId="0">
      <selection activeCell="I18" sqref="I18"/>
    </sheetView>
  </sheetViews>
  <sheetFormatPr baseColWidth="10" defaultRowHeight="16" x14ac:dyDescent="0.2"/>
  <cols>
    <col min="1" max="1" width="10.5" style="6" bestFit="1" customWidth="1"/>
    <col min="2" max="2" width="22.5" bestFit="1" customWidth="1"/>
    <col min="3" max="3" width="27.6640625" bestFit="1" customWidth="1"/>
    <col min="4" max="4" width="25.1640625" bestFit="1" customWidth="1"/>
    <col min="5" max="5" width="10.6640625" style="7" bestFit="1" customWidth="1"/>
    <col min="6" max="6" width="10.5" style="7" bestFit="1" customWidth="1"/>
    <col min="7" max="7" width="8.5" style="7" bestFit="1" customWidth="1"/>
    <col min="8" max="8" width="5.6640625" customWidth="1"/>
    <col min="9" max="9" width="25.1640625" bestFit="1" customWidth="1"/>
    <col min="10" max="10" width="11.5" bestFit="1" customWidth="1"/>
  </cols>
  <sheetData>
    <row r="1" spans="1:10" ht="30" customHeight="1" x14ac:dyDescent="0.2">
      <c r="A1" s="23" t="s">
        <v>0</v>
      </c>
      <c r="B1" s="24" t="s">
        <v>1</v>
      </c>
      <c r="C1" s="24" t="s">
        <v>2</v>
      </c>
      <c r="D1" s="24" t="s">
        <v>3</v>
      </c>
      <c r="E1" s="22" t="s">
        <v>4</v>
      </c>
      <c r="F1" s="22" t="s">
        <v>5</v>
      </c>
      <c r="G1" s="22" t="s">
        <v>6</v>
      </c>
    </row>
    <row r="2" spans="1:10" x14ac:dyDescent="0.2">
      <c r="A2" s="6">
        <v>45306</v>
      </c>
      <c r="B2" t="s">
        <v>7</v>
      </c>
      <c r="C2" t="s">
        <v>8</v>
      </c>
      <c r="D2" t="s">
        <v>9</v>
      </c>
      <c r="E2" s="11">
        <v>1</v>
      </c>
      <c r="F2" s="19">
        <v>47.23</v>
      </c>
      <c r="G2" s="7" t="s">
        <v>10</v>
      </c>
    </row>
    <row r="3" spans="1:10" x14ac:dyDescent="0.2">
      <c r="A3" s="6">
        <v>45313</v>
      </c>
      <c r="B3" t="s">
        <v>11</v>
      </c>
      <c r="C3" t="s">
        <v>12</v>
      </c>
      <c r="D3" t="s">
        <v>13</v>
      </c>
      <c r="E3" s="11">
        <v>1</v>
      </c>
      <c r="F3" s="19">
        <v>52.99</v>
      </c>
      <c r="G3" s="7" t="s">
        <v>10</v>
      </c>
    </row>
    <row r="4" spans="1:10" x14ac:dyDescent="0.2">
      <c r="A4" s="6">
        <v>45327</v>
      </c>
      <c r="B4" t="s">
        <v>14</v>
      </c>
      <c r="C4" t="s">
        <v>15</v>
      </c>
      <c r="D4" t="s">
        <v>13</v>
      </c>
      <c r="E4" s="11">
        <v>1</v>
      </c>
      <c r="F4" s="19">
        <v>25</v>
      </c>
      <c r="G4" s="7" t="s">
        <v>10</v>
      </c>
    </row>
    <row r="5" spans="1:10" x14ac:dyDescent="0.2">
      <c r="A5" s="6">
        <v>45336</v>
      </c>
      <c r="B5" t="s">
        <v>16</v>
      </c>
      <c r="C5" t="s">
        <v>17</v>
      </c>
      <c r="D5" t="s">
        <v>18</v>
      </c>
      <c r="E5" s="11">
        <v>0.5</v>
      </c>
      <c r="F5" s="19">
        <v>78.45</v>
      </c>
      <c r="G5" s="7" t="s">
        <v>10</v>
      </c>
    </row>
    <row r="6" spans="1:10" x14ac:dyDescent="0.2">
      <c r="A6" s="6">
        <v>45342</v>
      </c>
      <c r="B6" t="s">
        <v>19</v>
      </c>
      <c r="C6" t="s">
        <v>20</v>
      </c>
      <c r="D6" t="s">
        <v>21</v>
      </c>
      <c r="E6" s="11">
        <v>1</v>
      </c>
      <c r="F6" s="19">
        <v>23.67</v>
      </c>
      <c r="G6" s="7" t="s">
        <v>10</v>
      </c>
    </row>
    <row r="7" spans="1:10" x14ac:dyDescent="0.2">
      <c r="A7" s="6">
        <v>45352</v>
      </c>
      <c r="B7" t="s">
        <v>22</v>
      </c>
      <c r="C7" t="s">
        <v>23</v>
      </c>
      <c r="D7" t="s">
        <v>24</v>
      </c>
      <c r="E7" s="11">
        <v>0.8</v>
      </c>
      <c r="F7" s="19">
        <v>125</v>
      </c>
      <c r="G7" s="7" t="s">
        <v>10</v>
      </c>
    </row>
    <row r="8" spans="1:10" x14ac:dyDescent="0.2">
      <c r="A8" s="6">
        <v>45361</v>
      </c>
      <c r="B8" t="s">
        <v>25</v>
      </c>
      <c r="C8" t="s">
        <v>26</v>
      </c>
      <c r="D8" t="s">
        <v>27</v>
      </c>
      <c r="E8" s="11">
        <v>1</v>
      </c>
      <c r="F8" s="19">
        <v>199</v>
      </c>
      <c r="G8" s="7" t="s">
        <v>10</v>
      </c>
    </row>
    <row r="9" spans="1:10" x14ac:dyDescent="0.2">
      <c r="A9" s="6">
        <v>45366</v>
      </c>
      <c r="B9" t="s">
        <v>28</v>
      </c>
      <c r="C9" t="s">
        <v>29</v>
      </c>
      <c r="D9" t="s">
        <v>30</v>
      </c>
      <c r="E9" s="11">
        <v>1</v>
      </c>
      <c r="F9" s="19">
        <v>350</v>
      </c>
      <c r="G9" s="7" t="s">
        <v>10</v>
      </c>
    </row>
    <row r="10" spans="1:10" x14ac:dyDescent="0.2">
      <c r="A10" s="6">
        <v>45373</v>
      </c>
      <c r="B10" t="s">
        <v>31</v>
      </c>
      <c r="C10" t="s">
        <v>32</v>
      </c>
      <c r="D10" t="s">
        <v>33</v>
      </c>
      <c r="E10" s="11">
        <v>1</v>
      </c>
      <c r="F10" s="19">
        <v>495</v>
      </c>
      <c r="G10" s="7" t="s">
        <v>10</v>
      </c>
    </row>
    <row r="11" spans="1:10" x14ac:dyDescent="0.2">
      <c r="A11" s="6">
        <v>45385</v>
      </c>
      <c r="B11" t="s">
        <v>34</v>
      </c>
      <c r="C11" t="s">
        <v>35</v>
      </c>
      <c r="D11" t="s">
        <v>9</v>
      </c>
      <c r="E11" s="11">
        <v>1</v>
      </c>
      <c r="F11" s="19">
        <v>234.56</v>
      </c>
      <c r="G11" s="7" t="s">
        <v>10</v>
      </c>
      <c r="I11" t="s">
        <v>9</v>
      </c>
      <c r="J11" s="19">
        <f>SUMIF(D:D,"Office Supplies",F:F)</f>
        <v>471.24</v>
      </c>
    </row>
    <row r="12" spans="1:10" x14ac:dyDescent="0.2">
      <c r="A12" s="6">
        <v>45400</v>
      </c>
      <c r="B12" t="s">
        <v>36</v>
      </c>
      <c r="C12" t="s">
        <v>37</v>
      </c>
      <c r="D12" t="s">
        <v>13</v>
      </c>
      <c r="E12" s="11">
        <v>1</v>
      </c>
      <c r="F12" s="19">
        <v>14.99</v>
      </c>
      <c r="G12" s="7" t="s">
        <v>10</v>
      </c>
      <c r="I12" t="s">
        <v>13</v>
      </c>
      <c r="J12" s="19">
        <f>SUMIF(D:D,"Equipment &amp; Software",F:F)</f>
        <v>2793.7399999999957</v>
      </c>
    </row>
    <row r="13" spans="1:10" x14ac:dyDescent="0.2">
      <c r="A13" s="6">
        <v>45407</v>
      </c>
      <c r="B13" t="s">
        <v>38</v>
      </c>
      <c r="C13" t="s">
        <v>39</v>
      </c>
      <c r="D13" t="s">
        <v>40</v>
      </c>
      <c r="E13" s="11">
        <v>1</v>
      </c>
      <c r="F13" s="19">
        <v>156</v>
      </c>
      <c r="G13" s="7" t="s">
        <v>10</v>
      </c>
      <c r="I13" t="s">
        <v>21</v>
      </c>
      <c r="J13" s="19">
        <f>SUMIF(D:D,"Professional Services",F:F)</f>
        <v>357.65999999999997</v>
      </c>
    </row>
    <row r="14" spans="1:10" x14ac:dyDescent="0.2">
      <c r="A14" s="6">
        <v>45420</v>
      </c>
      <c r="B14" t="s">
        <v>41</v>
      </c>
      <c r="C14" t="s">
        <v>42</v>
      </c>
      <c r="D14" t="s">
        <v>43</v>
      </c>
      <c r="E14" s="11">
        <v>1</v>
      </c>
      <c r="F14" s="19">
        <v>12</v>
      </c>
      <c r="G14" s="7" t="s">
        <v>10</v>
      </c>
      <c r="I14" t="s">
        <v>30</v>
      </c>
      <c r="J14" s="19">
        <f>SUMIF(D:D,"Marketing &amp; Advertising",F:F)</f>
        <v>729.38000000000011</v>
      </c>
    </row>
    <row r="15" spans="1:10" x14ac:dyDescent="0.2">
      <c r="A15" s="6">
        <v>45427</v>
      </c>
      <c r="B15" t="s">
        <v>44</v>
      </c>
      <c r="C15" t="s">
        <v>45</v>
      </c>
      <c r="D15" t="s">
        <v>21</v>
      </c>
      <c r="E15" s="11">
        <v>1</v>
      </c>
      <c r="F15" s="19">
        <v>89.99</v>
      </c>
      <c r="G15" s="7" t="s">
        <v>10</v>
      </c>
      <c r="I15" t="s">
        <v>24</v>
      </c>
      <c r="J15" s="19">
        <f>SUMIF(D:D,"Utilities (Business Portion)",F:F)</f>
        <v>1625</v>
      </c>
    </row>
    <row r="16" spans="1:10" x14ac:dyDescent="0.2">
      <c r="A16" s="6">
        <v>45432</v>
      </c>
      <c r="B16" t="s">
        <v>46</v>
      </c>
      <c r="C16" t="s">
        <v>47</v>
      </c>
      <c r="D16" t="s">
        <v>48</v>
      </c>
      <c r="E16" s="11">
        <v>1</v>
      </c>
      <c r="F16" s="19">
        <v>125</v>
      </c>
      <c r="G16" s="7" t="s">
        <v>10</v>
      </c>
      <c r="I16" s="4" t="s">
        <v>51</v>
      </c>
      <c r="J16" s="21">
        <f>SUMIF(D:D,"Rent (Business Portion)",F:F)</f>
        <v>5850</v>
      </c>
    </row>
    <row r="17" spans="1:10" x14ac:dyDescent="0.2">
      <c r="A17" s="6">
        <v>45444</v>
      </c>
      <c r="B17" t="s">
        <v>49</v>
      </c>
      <c r="C17" t="s">
        <v>50</v>
      </c>
      <c r="D17" t="s">
        <v>51</v>
      </c>
      <c r="E17" s="11">
        <v>1</v>
      </c>
      <c r="F17" s="19">
        <v>450</v>
      </c>
      <c r="G17" s="7" t="s">
        <v>10</v>
      </c>
      <c r="I17" t="s">
        <v>40</v>
      </c>
      <c r="J17" s="19">
        <f>SUMIF(D:D,"Insurance (Business Portion)",F:F)</f>
        <v>2028</v>
      </c>
    </row>
    <row r="18" spans="1:10" x14ac:dyDescent="0.2">
      <c r="A18" s="6">
        <v>45455</v>
      </c>
      <c r="B18" t="s">
        <v>52</v>
      </c>
      <c r="C18" t="s">
        <v>53</v>
      </c>
      <c r="D18" t="s">
        <v>18</v>
      </c>
      <c r="E18" s="11">
        <v>0.5</v>
      </c>
      <c r="F18" s="19">
        <v>156.78</v>
      </c>
      <c r="G18" s="7" t="s">
        <v>10</v>
      </c>
      <c r="I18" t="s">
        <v>18</v>
      </c>
      <c r="J18" s="19">
        <f>SUMIF(D:D,"Meals &amp; Entertainment",F:F)</f>
        <v>235.23000000000002</v>
      </c>
    </row>
    <row r="19" spans="1:10" s="4" customFormat="1" x14ac:dyDescent="0.2">
      <c r="A19" s="9">
        <v>45468</v>
      </c>
      <c r="B19" s="4" t="s">
        <v>54</v>
      </c>
      <c r="C19" s="4" t="s">
        <v>55</v>
      </c>
      <c r="D19" s="4" t="s">
        <v>13</v>
      </c>
      <c r="E19" s="13">
        <v>1</v>
      </c>
      <c r="F19" s="21">
        <v>22</v>
      </c>
      <c r="G19" s="10" t="s">
        <v>877</v>
      </c>
      <c r="I19" s="4" t="s">
        <v>33</v>
      </c>
      <c r="J19" s="21">
        <f>SUMIF(D:D,"Conference &amp; Training",F:F)</f>
        <v>1150</v>
      </c>
    </row>
    <row r="20" spans="1:10" x14ac:dyDescent="0.2">
      <c r="A20" s="6">
        <v>45477</v>
      </c>
      <c r="B20" t="s">
        <v>56</v>
      </c>
      <c r="C20" t="s">
        <v>57</v>
      </c>
      <c r="D20" t="s">
        <v>43</v>
      </c>
      <c r="E20" s="11">
        <v>1</v>
      </c>
      <c r="F20" s="19">
        <v>95</v>
      </c>
      <c r="G20" s="7" t="s">
        <v>10</v>
      </c>
      <c r="I20" t="s">
        <v>48</v>
      </c>
      <c r="J20" s="19">
        <f>SUMIF(D:D,"Subscriptions &amp; Memberships",F:F)</f>
        <v>919.87000000000012</v>
      </c>
    </row>
    <row r="21" spans="1:10" x14ac:dyDescent="0.2">
      <c r="A21" s="6">
        <v>45491</v>
      </c>
      <c r="B21" t="s">
        <v>58</v>
      </c>
      <c r="C21" t="s">
        <v>59</v>
      </c>
      <c r="D21" t="s">
        <v>48</v>
      </c>
      <c r="E21" s="11">
        <v>1</v>
      </c>
      <c r="F21" s="19">
        <v>39.99</v>
      </c>
      <c r="G21" s="7" t="s">
        <v>10</v>
      </c>
      <c r="I21" t="s">
        <v>27</v>
      </c>
      <c r="J21" s="19">
        <f>SUMIF(D:D,"Legal &amp; Professional Fees",F:F)</f>
        <v>199</v>
      </c>
    </row>
    <row r="22" spans="1:10" x14ac:dyDescent="0.2">
      <c r="A22" s="6">
        <v>45509</v>
      </c>
      <c r="B22" t="s">
        <v>60</v>
      </c>
      <c r="C22" t="s">
        <v>61</v>
      </c>
      <c r="D22" t="s">
        <v>21</v>
      </c>
      <c r="E22" s="11">
        <v>1</v>
      </c>
      <c r="F22" s="19">
        <v>45</v>
      </c>
      <c r="G22" s="7" t="s">
        <v>10</v>
      </c>
      <c r="I22" t="s">
        <v>43</v>
      </c>
      <c r="J22" s="19">
        <f>SUMIF(D:D,"Bank Fees",F:F)</f>
        <v>251</v>
      </c>
    </row>
    <row r="23" spans="1:10" x14ac:dyDescent="0.2">
      <c r="A23" s="6">
        <v>45524</v>
      </c>
      <c r="B23" t="s">
        <v>62</v>
      </c>
      <c r="C23" t="s">
        <v>63</v>
      </c>
      <c r="D23" t="s">
        <v>13</v>
      </c>
      <c r="E23" s="11">
        <v>1</v>
      </c>
      <c r="F23" s="19">
        <v>1299</v>
      </c>
      <c r="G23" s="7" t="s">
        <v>10</v>
      </c>
      <c r="I23" t="s">
        <v>76</v>
      </c>
      <c r="J23" s="19">
        <f>SUMIF(D:D,"Other Business Expenses",F:F)</f>
        <v>1265</v>
      </c>
    </row>
    <row r="24" spans="1:10" x14ac:dyDescent="0.2">
      <c r="A24" s="6">
        <v>45538</v>
      </c>
      <c r="B24" t="s">
        <v>64</v>
      </c>
      <c r="C24" t="s">
        <v>65</v>
      </c>
      <c r="D24" t="s">
        <v>48</v>
      </c>
      <c r="E24" s="11">
        <v>1</v>
      </c>
      <c r="F24" s="19">
        <v>275</v>
      </c>
      <c r="G24" s="7" t="s">
        <v>10</v>
      </c>
      <c r="J24" s="19"/>
    </row>
    <row r="25" spans="1:10" x14ac:dyDescent="0.2">
      <c r="A25" s="6">
        <v>45550</v>
      </c>
      <c r="B25" t="s">
        <v>66</v>
      </c>
      <c r="C25" t="s">
        <v>67</v>
      </c>
      <c r="D25" t="s">
        <v>33</v>
      </c>
      <c r="E25" s="11">
        <v>1</v>
      </c>
      <c r="F25" s="19">
        <v>85</v>
      </c>
      <c r="G25" s="7" t="s">
        <v>10</v>
      </c>
      <c r="J25" s="19"/>
    </row>
    <row r="26" spans="1:10" x14ac:dyDescent="0.2">
      <c r="A26" s="6">
        <v>45566</v>
      </c>
      <c r="B26" t="s">
        <v>68</v>
      </c>
      <c r="C26" t="s">
        <v>69</v>
      </c>
      <c r="D26" t="s">
        <v>30</v>
      </c>
      <c r="E26" s="11">
        <v>1</v>
      </c>
      <c r="F26" s="19">
        <v>67.5</v>
      </c>
      <c r="G26" s="7" t="s">
        <v>10</v>
      </c>
      <c r="J26" s="19"/>
    </row>
    <row r="27" spans="1:10" x14ac:dyDescent="0.2">
      <c r="A27" s="6">
        <v>45577</v>
      </c>
      <c r="B27" t="s">
        <v>70</v>
      </c>
      <c r="C27" t="s">
        <v>71</v>
      </c>
      <c r="D27" t="s">
        <v>30</v>
      </c>
      <c r="E27" s="11">
        <v>1</v>
      </c>
      <c r="F27" s="19">
        <v>156</v>
      </c>
      <c r="G27" s="7" t="s">
        <v>10</v>
      </c>
      <c r="I27" t="s">
        <v>81</v>
      </c>
      <c r="J27" s="19">
        <f>SUM(J11:J26)</f>
        <v>17875.119999999995</v>
      </c>
    </row>
    <row r="28" spans="1:10" x14ac:dyDescent="0.2">
      <c r="A28" s="6">
        <v>45601</v>
      </c>
      <c r="B28" t="s">
        <v>72</v>
      </c>
      <c r="C28" t="s">
        <v>73</v>
      </c>
      <c r="D28" t="s">
        <v>21</v>
      </c>
      <c r="E28" s="11">
        <v>1</v>
      </c>
      <c r="F28" s="19">
        <v>199</v>
      </c>
      <c r="G28" s="7" t="s">
        <v>10</v>
      </c>
    </row>
    <row r="29" spans="1:10" x14ac:dyDescent="0.2">
      <c r="A29" s="6">
        <v>45614</v>
      </c>
      <c r="B29" t="s">
        <v>74</v>
      </c>
      <c r="C29" t="s">
        <v>75</v>
      </c>
      <c r="D29" t="s">
        <v>76</v>
      </c>
      <c r="E29" s="11">
        <v>1</v>
      </c>
      <c r="F29" s="19">
        <v>245</v>
      </c>
      <c r="G29" s="7" t="s">
        <v>10</v>
      </c>
    </row>
    <row r="30" spans="1:10" x14ac:dyDescent="0.2">
      <c r="A30" s="6">
        <v>45629</v>
      </c>
      <c r="B30" t="s">
        <v>77</v>
      </c>
      <c r="C30" t="s">
        <v>78</v>
      </c>
      <c r="D30" t="s">
        <v>9</v>
      </c>
      <c r="E30" s="11">
        <v>1</v>
      </c>
      <c r="F30" s="19">
        <v>189.45</v>
      </c>
      <c r="G30" s="7" t="s">
        <v>10</v>
      </c>
    </row>
    <row r="31" spans="1:10" x14ac:dyDescent="0.2">
      <c r="A31" s="6">
        <v>45641</v>
      </c>
      <c r="B31" t="s">
        <v>79</v>
      </c>
      <c r="C31" t="s">
        <v>80</v>
      </c>
      <c r="D31" t="s">
        <v>33</v>
      </c>
      <c r="E31" s="11">
        <v>1</v>
      </c>
      <c r="F31" s="19">
        <v>295</v>
      </c>
      <c r="G31" s="7" t="s">
        <v>10</v>
      </c>
    </row>
    <row r="32" spans="1:10" s="4" customFormat="1" x14ac:dyDescent="0.2">
      <c r="A32" s="9">
        <v>45641</v>
      </c>
      <c r="B32" s="4" t="s">
        <v>11</v>
      </c>
      <c r="C32" s="4" t="s">
        <v>12</v>
      </c>
      <c r="D32" s="4" t="s">
        <v>878</v>
      </c>
      <c r="E32" s="13">
        <v>1</v>
      </c>
      <c r="F32" s="21">
        <v>300</v>
      </c>
      <c r="G32" s="10" t="s">
        <v>877</v>
      </c>
    </row>
    <row r="33" spans="1:7" x14ac:dyDescent="0.2">
      <c r="A33" s="35">
        <v>45684</v>
      </c>
      <c r="B33" s="33" t="s">
        <v>54</v>
      </c>
      <c r="C33" s="33" t="s">
        <v>895</v>
      </c>
      <c r="D33" s="33" t="s">
        <v>13</v>
      </c>
      <c r="E33" s="34">
        <v>0.01</v>
      </c>
      <c r="F33" s="36">
        <v>22</v>
      </c>
      <c r="G33" s="33" t="s">
        <v>10</v>
      </c>
    </row>
    <row r="34" spans="1:7" x14ac:dyDescent="0.2">
      <c r="A34" s="35">
        <v>45713</v>
      </c>
      <c r="B34" s="33" t="s">
        <v>54</v>
      </c>
      <c r="C34" s="33" t="s">
        <v>895</v>
      </c>
      <c r="D34" s="33" t="s">
        <v>13</v>
      </c>
      <c r="E34" s="34">
        <v>0.01</v>
      </c>
      <c r="F34" s="36">
        <v>22</v>
      </c>
      <c r="G34" s="33" t="s">
        <v>10</v>
      </c>
    </row>
    <row r="35" spans="1:7" x14ac:dyDescent="0.2">
      <c r="A35" s="35">
        <v>45741</v>
      </c>
      <c r="B35" s="33" t="s">
        <v>54</v>
      </c>
      <c r="C35" s="33" t="s">
        <v>895</v>
      </c>
      <c r="D35" s="33" t="s">
        <v>13</v>
      </c>
      <c r="E35" s="34">
        <v>0.01</v>
      </c>
      <c r="F35" s="36">
        <v>22</v>
      </c>
      <c r="G35" s="33" t="s">
        <v>10</v>
      </c>
    </row>
    <row r="36" spans="1:7" x14ac:dyDescent="0.2">
      <c r="A36" s="35">
        <v>45772</v>
      </c>
      <c r="B36" s="33" t="s">
        <v>54</v>
      </c>
      <c r="C36" s="33" t="s">
        <v>895</v>
      </c>
      <c r="D36" s="33" t="s">
        <v>13</v>
      </c>
      <c r="E36" s="34">
        <v>0.01</v>
      </c>
      <c r="F36" s="36">
        <v>22</v>
      </c>
      <c r="G36" s="33" t="s">
        <v>10</v>
      </c>
    </row>
    <row r="37" spans="1:7" x14ac:dyDescent="0.2">
      <c r="A37" s="35">
        <v>45803</v>
      </c>
      <c r="B37" s="33" t="s">
        <v>54</v>
      </c>
      <c r="C37" s="33" t="s">
        <v>895</v>
      </c>
      <c r="D37" s="33" t="s">
        <v>13</v>
      </c>
      <c r="E37" s="34">
        <v>0.01</v>
      </c>
      <c r="F37" s="36">
        <v>22</v>
      </c>
      <c r="G37" s="33" t="s">
        <v>10</v>
      </c>
    </row>
    <row r="38" spans="1:7" x14ac:dyDescent="0.2">
      <c r="A38" s="35">
        <v>45833</v>
      </c>
      <c r="B38" s="33" t="s">
        <v>54</v>
      </c>
      <c r="C38" s="33" t="s">
        <v>895</v>
      </c>
      <c r="D38" s="33" t="s">
        <v>13</v>
      </c>
      <c r="E38" s="34">
        <v>0.01</v>
      </c>
      <c r="F38" s="36">
        <v>22</v>
      </c>
      <c r="G38" s="33" t="s">
        <v>10</v>
      </c>
    </row>
    <row r="39" spans="1:7" x14ac:dyDescent="0.2">
      <c r="A39" s="35">
        <v>45863</v>
      </c>
      <c r="B39" s="33" t="s">
        <v>54</v>
      </c>
      <c r="C39" s="33" t="s">
        <v>895</v>
      </c>
      <c r="D39" s="33" t="s">
        <v>13</v>
      </c>
      <c r="E39" s="34">
        <v>0.01</v>
      </c>
      <c r="F39" s="36">
        <v>22</v>
      </c>
      <c r="G39" s="33" t="s">
        <v>10</v>
      </c>
    </row>
    <row r="40" spans="1:7" x14ac:dyDescent="0.2">
      <c r="A40" s="35">
        <v>45894</v>
      </c>
      <c r="B40" s="33" t="s">
        <v>54</v>
      </c>
      <c r="C40" s="33" t="s">
        <v>895</v>
      </c>
      <c r="D40" s="33" t="s">
        <v>13</v>
      </c>
      <c r="E40" s="34">
        <v>0.01</v>
      </c>
      <c r="F40" s="36">
        <v>22</v>
      </c>
      <c r="G40" s="33" t="s">
        <v>10</v>
      </c>
    </row>
    <row r="41" spans="1:7" x14ac:dyDescent="0.2">
      <c r="A41" s="35">
        <v>45925</v>
      </c>
      <c r="B41" s="33" t="s">
        <v>54</v>
      </c>
      <c r="C41" s="33" t="s">
        <v>895</v>
      </c>
      <c r="D41" s="33" t="s">
        <v>13</v>
      </c>
      <c r="E41" s="34">
        <v>0.01</v>
      </c>
      <c r="F41" s="36">
        <v>22</v>
      </c>
      <c r="G41" s="33" t="s">
        <v>10</v>
      </c>
    </row>
    <row r="42" spans="1:7" x14ac:dyDescent="0.2">
      <c r="A42" s="35">
        <v>45957</v>
      </c>
      <c r="B42" s="33" t="s">
        <v>54</v>
      </c>
      <c r="C42" s="33" t="s">
        <v>895</v>
      </c>
      <c r="D42" s="33" t="s">
        <v>13</v>
      </c>
      <c r="E42" s="34">
        <v>0.01</v>
      </c>
      <c r="F42" s="36">
        <v>22</v>
      </c>
      <c r="G42" s="33" t="s">
        <v>10</v>
      </c>
    </row>
    <row r="43" spans="1:7" x14ac:dyDescent="0.2">
      <c r="A43" s="35">
        <v>45986</v>
      </c>
      <c r="B43" s="33" t="s">
        <v>54</v>
      </c>
      <c r="C43" s="33" t="s">
        <v>895</v>
      </c>
      <c r="D43" s="33" t="s">
        <v>13</v>
      </c>
      <c r="E43" s="34">
        <v>0.01</v>
      </c>
      <c r="F43" s="36">
        <v>22</v>
      </c>
      <c r="G43" s="33" t="s">
        <v>10</v>
      </c>
    </row>
    <row r="44" spans="1:7" x14ac:dyDescent="0.2">
      <c r="A44" s="35">
        <v>46016</v>
      </c>
      <c r="B44" s="33" t="s">
        <v>54</v>
      </c>
      <c r="C44" s="33" t="s">
        <v>895</v>
      </c>
      <c r="D44" s="33" t="s">
        <v>13</v>
      </c>
      <c r="E44" s="34">
        <v>0.01</v>
      </c>
      <c r="F44" s="36">
        <v>22</v>
      </c>
      <c r="G44" s="33" t="s">
        <v>10</v>
      </c>
    </row>
    <row r="45" spans="1:7" x14ac:dyDescent="0.2">
      <c r="A45" s="35">
        <v>45663</v>
      </c>
      <c r="B45" s="33" t="s">
        <v>14</v>
      </c>
      <c r="C45" s="33" t="s">
        <v>898</v>
      </c>
      <c r="D45" s="33" t="s">
        <v>13</v>
      </c>
      <c r="E45" s="34">
        <v>0.01</v>
      </c>
      <c r="F45" s="36">
        <v>25</v>
      </c>
      <c r="G45" s="33" t="s">
        <v>10</v>
      </c>
    </row>
    <row r="46" spans="1:7" x14ac:dyDescent="0.2">
      <c r="A46" s="35">
        <v>45693</v>
      </c>
      <c r="B46" s="33" t="s">
        <v>14</v>
      </c>
      <c r="C46" s="33" t="s">
        <v>898</v>
      </c>
      <c r="D46" s="33" t="s">
        <v>13</v>
      </c>
      <c r="E46" s="34">
        <v>0.01</v>
      </c>
      <c r="F46" s="36">
        <v>25</v>
      </c>
      <c r="G46" s="33" t="s">
        <v>10</v>
      </c>
    </row>
    <row r="47" spans="1:7" x14ac:dyDescent="0.2">
      <c r="A47" s="35">
        <v>45721</v>
      </c>
      <c r="B47" s="33" t="s">
        <v>14</v>
      </c>
      <c r="C47" s="33" t="s">
        <v>898</v>
      </c>
      <c r="D47" s="33" t="s">
        <v>13</v>
      </c>
      <c r="E47" s="34">
        <v>0.01</v>
      </c>
      <c r="F47" s="36">
        <v>25</v>
      </c>
      <c r="G47" s="33" t="s">
        <v>10</v>
      </c>
    </row>
    <row r="48" spans="1:7" x14ac:dyDescent="0.2">
      <c r="A48" s="35">
        <v>45754</v>
      </c>
      <c r="B48" s="33" t="s">
        <v>14</v>
      </c>
      <c r="C48" s="33" t="s">
        <v>898</v>
      </c>
      <c r="D48" s="33" t="s">
        <v>13</v>
      </c>
      <c r="E48" s="34">
        <v>0.01</v>
      </c>
      <c r="F48" s="36">
        <v>25</v>
      </c>
      <c r="G48" s="33" t="s">
        <v>10</v>
      </c>
    </row>
    <row r="49" spans="1:7" x14ac:dyDescent="0.2">
      <c r="A49" s="35">
        <v>45782</v>
      </c>
      <c r="B49" s="33" t="s">
        <v>14</v>
      </c>
      <c r="C49" s="33" t="s">
        <v>898</v>
      </c>
      <c r="D49" s="33" t="s">
        <v>13</v>
      </c>
      <c r="E49" s="34">
        <v>0.01</v>
      </c>
      <c r="F49" s="36">
        <v>25</v>
      </c>
      <c r="G49" s="33" t="s">
        <v>10</v>
      </c>
    </row>
    <row r="50" spans="1:7" x14ac:dyDescent="0.2">
      <c r="A50" s="35">
        <v>45813</v>
      </c>
      <c r="B50" s="33" t="s">
        <v>14</v>
      </c>
      <c r="C50" s="33" t="s">
        <v>898</v>
      </c>
      <c r="D50" s="33" t="s">
        <v>13</v>
      </c>
      <c r="E50" s="34">
        <v>0.01</v>
      </c>
      <c r="F50" s="36">
        <v>25</v>
      </c>
      <c r="G50" s="33" t="s">
        <v>10</v>
      </c>
    </row>
    <row r="51" spans="1:7" x14ac:dyDescent="0.2">
      <c r="A51" s="35">
        <v>45845</v>
      </c>
      <c r="B51" s="33" t="s">
        <v>14</v>
      </c>
      <c r="C51" s="33" t="s">
        <v>898</v>
      </c>
      <c r="D51" s="33" t="s">
        <v>13</v>
      </c>
      <c r="E51" s="34">
        <v>0.01</v>
      </c>
      <c r="F51" s="36">
        <v>25</v>
      </c>
      <c r="G51" s="33" t="s">
        <v>10</v>
      </c>
    </row>
    <row r="52" spans="1:7" x14ac:dyDescent="0.2">
      <c r="A52" s="35">
        <v>45874</v>
      </c>
      <c r="B52" s="33" t="s">
        <v>14</v>
      </c>
      <c r="C52" s="33" t="s">
        <v>898</v>
      </c>
      <c r="D52" s="33" t="s">
        <v>13</v>
      </c>
      <c r="E52" s="34">
        <v>0.01</v>
      </c>
      <c r="F52" s="36">
        <v>25</v>
      </c>
      <c r="G52" s="33" t="s">
        <v>10</v>
      </c>
    </row>
    <row r="53" spans="1:7" x14ac:dyDescent="0.2">
      <c r="A53" s="35">
        <v>45905</v>
      </c>
      <c r="B53" s="33" t="s">
        <v>14</v>
      </c>
      <c r="C53" s="33" t="s">
        <v>898</v>
      </c>
      <c r="D53" s="33" t="s">
        <v>13</v>
      </c>
      <c r="E53" s="34">
        <v>0.01</v>
      </c>
      <c r="F53" s="36">
        <v>25</v>
      </c>
      <c r="G53" s="33" t="s">
        <v>10</v>
      </c>
    </row>
    <row r="54" spans="1:7" x14ac:dyDescent="0.2">
      <c r="A54" s="35">
        <v>45936</v>
      </c>
      <c r="B54" s="33" t="s">
        <v>14</v>
      </c>
      <c r="C54" s="33" t="s">
        <v>898</v>
      </c>
      <c r="D54" s="33" t="s">
        <v>13</v>
      </c>
      <c r="E54" s="34">
        <v>0.01</v>
      </c>
      <c r="F54" s="36">
        <v>25</v>
      </c>
      <c r="G54" s="33" t="s">
        <v>10</v>
      </c>
    </row>
    <row r="55" spans="1:7" x14ac:dyDescent="0.2">
      <c r="A55" s="35">
        <v>45966</v>
      </c>
      <c r="B55" s="33" t="s">
        <v>14</v>
      </c>
      <c r="C55" s="33" t="s">
        <v>898</v>
      </c>
      <c r="D55" s="33" t="s">
        <v>13</v>
      </c>
      <c r="E55" s="34">
        <v>0.01</v>
      </c>
      <c r="F55" s="36">
        <v>25</v>
      </c>
      <c r="G55" s="33" t="s">
        <v>10</v>
      </c>
    </row>
    <row r="56" spans="1:7" x14ac:dyDescent="0.2">
      <c r="A56" s="35">
        <v>45996</v>
      </c>
      <c r="B56" s="33" t="s">
        <v>14</v>
      </c>
      <c r="C56" s="33" t="s">
        <v>898</v>
      </c>
      <c r="D56" s="33" t="s">
        <v>13</v>
      </c>
      <c r="E56" s="34">
        <v>0.01</v>
      </c>
      <c r="F56" s="36">
        <v>25</v>
      </c>
      <c r="G56" s="33" t="s">
        <v>10</v>
      </c>
    </row>
    <row r="57" spans="1:7" x14ac:dyDescent="0.2">
      <c r="A57" s="35">
        <v>45658</v>
      </c>
      <c r="B57" s="33" t="s">
        <v>22</v>
      </c>
      <c r="C57" s="33" t="s">
        <v>900</v>
      </c>
      <c r="D57" s="33" t="s">
        <v>24</v>
      </c>
      <c r="E57" s="34">
        <v>8.0000000000000002E-3</v>
      </c>
      <c r="F57" s="36">
        <v>125</v>
      </c>
      <c r="G57" s="33" t="s">
        <v>10</v>
      </c>
    </row>
    <row r="58" spans="1:7" x14ac:dyDescent="0.2">
      <c r="A58" s="35">
        <v>45691</v>
      </c>
      <c r="B58" s="33" t="s">
        <v>22</v>
      </c>
      <c r="C58" s="33" t="s">
        <v>900</v>
      </c>
      <c r="D58" s="33" t="s">
        <v>24</v>
      </c>
      <c r="E58" s="34">
        <v>8.0000000000000002E-3</v>
      </c>
      <c r="F58" s="36">
        <v>125</v>
      </c>
      <c r="G58" s="33" t="s">
        <v>10</v>
      </c>
    </row>
    <row r="59" spans="1:7" x14ac:dyDescent="0.2">
      <c r="A59" s="35">
        <v>45719</v>
      </c>
      <c r="B59" s="33" t="s">
        <v>22</v>
      </c>
      <c r="C59" s="33" t="s">
        <v>900</v>
      </c>
      <c r="D59" s="33" t="s">
        <v>24</v>
      </c>
      <c r="E59" s="34">
        <v>8.0000000000000002E-3</v>
      </c>
      <c r="F59" s="36">
        <v>125</v>
      </c>
      <c r="G59" s="33" t="s">
        <v>10</v>
      </c>
    </row>
    <row r="60" spans="1:7" x14ac:dyDescent="0.2">
      <c r="A60" s="35">
        <v>45748</v>
      </c>
      <c r="B60" s="33" t="s">
        <v>22</v>
      </c>
      <c r="C60" s="33" t="s">
        <v>900</v>
      </c>
      <c r="D60" s="33" t="s">
        <v>24</v>
      </c>
      <c r="E60" s="34">
        <v>8.0000000000000002E-3</v>
      </c>
      <c r="F60" s="36">
        <v>125</v>
      </c>
      <c r="G60" s="33" t="s">
        <v>10</v>
      </c>
    </row>
    <row r="61" spans="1:7" x14ac:dyDescent="0.2">
      <c r="A61" s="35">
        <v>45778</v>
      </c>
      <c r="B61" s="33" t="s">
        <v>22</v>
      </c>
      <c r="C61" s="33" t="s">
        <v>900</v>
      </c>
      <c r="D61" s="33" t="s">
        <v>24</v>
      </c>
      <c r="E61" s="34">
        <v>8.0000000000000002E-3</v>
      </c>
      <c r="F61" s="36">
        <v>125</v>
      </c>
      <c r="G61" s="33" t="s">
        <v>10</v>
      </c>
    </row>
    <row r="62" spans="1:7" x14ac:dyDescent="0.2">
      <c r="A62" s="35">
        <v>45810</v>
      </c>
      <c r="B62" s="33" t="s">
        <v>22</v>
      </c>
      <c r="C62" s="33" t="s">
        <v>900</v>
      </c>
      <c r="D62" s="33" t="s">
        <v>24</v>
      </c>
      <c r="E62" s="34">
        <v>8.0000000000000002E-3</v>
      </c>
      <c r="F62" s="36">
        <v>125</v>
      </c>
      <c r="G62" s="33" t="s">
        <v>10</v>
      </c>
    </row>
    <row r="63" spans="1:7" x14ac:dyDescent="0.2">
      <c r="A63" s="35">
        <v>45839</v>
      </c>
      <c r="B63" s="33" t="s">
        <v>22</v>
      </c>
      <c r="C63" s="33" t="s">
        <v>900</v>
      </c>
      <c r="D63" s="33" t="s">
        <v>24</v>
      </c>
      <c r="E63" s="34">
        <v>8.0000000000000002E-3</v>
      </c>
      <c r="F63" s="36">
        <v>125</v>
      </c>
      <c r="G63" s="33" t="s">
        <v>10</v>
      </c>
    </row>
    <row r="64" spans="1:7" x14ac:dyDescent="0.2">
      <c r="A64" s="35">
        <v>45870</v>
      </c>
      <c r="B64" s="33" t="s">
        <v>22</v>
      </c>
      <c r="C64" s="33" t="s">
        <v>900</v>
      </c>
      <c r="D64" s="33" t="s">
        <v>24</v>
      </c>
      <c r="E64" s="34">
        <v>8.0000000000000002E-3</v>
      </c>
      <c r="F64" s="36">
        <v>125</v>
      </c>
      <c r="G64" s="33" t="s">
        <v>10</v>
      </c>
    </row>
    <row r="65" spans="1:7" x14ac:dyDescent="0.2">
      <c r="A65" s="35">
        <v>45901</v>
      </c>
      <c r="B65" s="33" t="s">
        <v>22</v>
      </c>
      <c r="C65" s="33" t="s">
        <v>900</v>
      </c>
      <c r="D65" s="33" t="s">
        <v>24</v>
      </c>
      <c r="E65" s="34">
        <v>8.0000000000000002E-3</v>
      </c>
      <c r="F65" s="36">
        <v>125</v>
      </c>
      <c r="G65" s="33" t="s">
        <v>10</v>
      </c>
    </row>
    <row r="66" spans="1:7" x14ac:dyDescent="0.2">
      <c r="A66" s="35">
        <v>45931</v>
      </c>
      <c r="B66" s="33" t="s">
        <v>22</v>
      </c>
      <c r="C66" s="33" t="s">
        <v>900</v>
      </c>
      <c r="D66" s="33" t="s">
        <v>24</v>
      </c>
      <c r="E66" s="34">
        <v>8.0000000000000002E-3</v>
      </c>
      <c r="F66" s="36">
        <v>125</v>
      </c>
      <c r="G66" s="33" t="s">
        <v>10</v>
      </c>
    </row>
    <row r="67" spans="1:7" x14ac:dyDescent="0.2">
      <c r="A67" s="35">
        <v>45964</v>
      </c>
      <c r="B67" s="33" t="s">
        <v>22</v>
      </c>
      <c r="C67" s="33" t="s">
        <v>900</v>
      </c>
      <c r="D67" s="33" t="s">
        <v>24</v>
      </c>
      <c r="E67" s="34">
        <v>8.0000000000000002E-3</v>
      </c>
      <c r="F67" s="36">
        <v>125</v>
      </c>
      <c r="G67" s="33" t="s">
        <v>10</v>
      </c>
    </row>
    <row r="68" spans="1:7" x14ac:dyDescent="0.2">
      <c r="A68" s="35">
        <v>45992</v>
      </c>
      <c r="B68" s="33" t="s">
        <v>22</v>
      </c>
      <c r="C68" s="33" t="s">
        <v>900</v>
      </c>
      <c r="D68" s="33" t="s">
        <v>24</v>
      </c>
      <c r="E68" s="34">
        <v>8.0000000000000002E-3</v>
      </c>
      <c r="F68" s="36">
        <v>125</v>
      </c>
      <c r="G68" s="33" t="s">
        <v>10</v>
      </c>
    </row>
    <row r="69" spans="1:7" x14ac:dyDescent="0.2">
      <c r="A69" s="35">
        <v>45658</v>
      </c>
      <c r="B69" s="33" t="s">
        <v>902</v>
      </c>
      <c r="C69" s="33" t="s">
        <v>49</v>
      </c>
      <c r="D69" s="33" t="s">
        <v>51</v>
      </c>
      <c r="E69" s="34">
        <v>0.01</v>
      </c>
      <c r="F69" s="36">
        <v>450</v>
      </c>
      <c r="G69" s="33" t="s">
        <v>10</v>
      </c>
    </row>
    <row r="70" spans="1:7" x14ac:dyDescent="0.2">
      <c r="A70" s="35">
        <v>45691</v>
      </c>
      <c r="B70" s="33" t="s">
        <v>902</v>
      </c>
      <c r="C70" s="33" t="s">
        <v>49</v>
      </c>
      <c r="D70" s="33" t="s">
        <v>51</v>
      </c>
      <c r="E70" s="34">
        <v>0.01</v>
      </c>
      <c r="F70" s="36">
        <v>450</v>
      </c>
      <c r="G70" s="33" t="s">
        <v>10</v>
      </c>
    </row>
    <row r="71" spans="1:7" x14ac:dyDescent="0.2">
      <c r="A71" s="35">
        <v>45719</v>
      </c>
      <c r="B71" s="33" t="s">
        <v>902</v>
      </c>
      <c r="C71" s="33" t="s">
        <v>49</v>
      </c>
      <c r="D71" s="33" t="s">
        <v>51</v>
      </c>
      <c r="E71" s="34">
        <v>0.01</v>
      </c>
      <c r="F71" s="36">
        <v>450</v>
      </c>
      <c r="G71" s="33" t="s">
        <v>10</v>
      </c>
    </row>
    <row r="72" spans="1:7" x14ac:dyDescent="0.2">
      <c r="A72" s="35">
        <v>45748</v>
      </c>
      <c r="B72" s="33" t="s">
        <v>902</v>
      </c>
      <c r="C72" s="33" t="s">
        <v>49</v>
      </c>
      <c r="D72" s="33" t="s">
        <v>51</v>
      </c>
      <c r="E72" s="34">
        <v>0.01</v>
      </c>
      <c r="F72" s="36">
        <v>450</v>
      </c>
      <c r="G72" s="33" t="s">
        <v>10</v>
      </c>
    </row>
    <row r="73" spans="1:7" x14ac:dyDescent="0.2">
      <c r="A73" s="35">
        <v>45778</v>
      </c>
      <c r="B73" s="33" t="s">
        <v>902</v>
      </c>
      <c r="C73" s="33" t="s">
        <v>49</v>
      </c>
      <c r="D73" s="33" t="s">
        <v>51</v>
      </c>
      <c r="E73" s="34">
        <v>0.01</v>
      </c>
      <c r="F73" s="36">
        <v>450</v>
      </c>
      <c r="G73" s="33" t="s">
        <v>10</v>
      </c>
    </row>
    <row r="74" spans="1:7" x14ac:dyDescent="0.2">
      <c r="A74" s="35">
        <v>45810</v>
      </c>
      <c r="B74" s="33" t="s">
        <v>902</v>
      </c>
      <c r="C74" s="33" t="s">
        <v>49</v>
      </c>
      <c r="D74" s="33" t="s">
        <v>51</v>
      </c>
      <c r="E74" s="34">
        <v>0.01</v>
      </c>
      <c r="F74" s="36">
        <v>450</v>
      </c>
      <c r="G74" s="33" t="s">
        <v>10</v>
      </c>
    </row>
    <row r="75" spans="1:7" x14ac:dyDescent="0.2">
      <c r="A75" s="35">
        <v>45839</v>
      </c>
      <c r="B75" s="33" t="s">
        <v>902</v>
      </c>
      <c r="C75" s="33" t="s">
        <v>49</v>
      </c>
      <c r="D75" s="33" t="s">
        <v>51</v>
      </c>
      <c r="E75" s="34">
        <v>0.01</v>
      </c>
      <c r="F75" s="36">
        <v>450</v>
      </c>
      <c r="G75" s="33" t="s">
        <v>10</v>
      </c>
    </row>
    <row r="76" spans="1:7" x14ac:dyDescent="0.2">
      <c r="A76" s="35">
        <v>45870</v>
      </c>
      <c r="B76" s="33" t="s">
        <v>902</v>
      </c>
      <c r="C76" s="33" t="s">
        <v>49</v>
      </c>
      <c r="D76" s="33" t="s">
        <v>51</v>
      </c>
      <c r="E76" s="34">
        <v>0.01</v>
      </c>
      <c r="F76" s="36">
        <v>450</v>
      </c>
      <c r="G76" s="33" t="s">
        <v>10</v>
      </c>
    </row>
    <row r="77" spans="1:7" x14ac:dyDescent="0.2">
      <c r="A77" s="35">
        <v>45901</v>
      </c>
      <c r="B77" s="33" t="s">
        <v>902</v>
      </c>
      <c r="C77" s="33" t="s">
        <v>49</v>
      </c>
      <c r="D77" s="33" t="s">
        <v>51</v>
      </c>
      <c r="E77" s="34">
        <v>0.01</v>
      </c>
      <c r="F77" s="36">
        <v>450</v>
      </c>
      <c r="G77" s="33" t="s">
        <v>10</v>
      </c>
    </row>
    <row r="78" spans="1:7" x14ac:dyDescent="0.2">
      <c r="A78" s="35">
        <v>45931</v>
      </c>
      <c r="B78" s="33" t="s">
        <v>902</v>
      </c>
      <c r="C78" s="33" t="s">
        <v>49</v>
      </c>
      <c r="D78" s="33" t="s">
        <v>51</v>
      </c>
      <c r="E78" s="34">
        <v>0.01</v>
      </c>
      <c r="F78" s="36">
        <v>450</v>
      </c>
      <c r="G78" s="33" t="s">
        <v>10</v>
      </c>
    </row>
    <row r="79" spans="1:7" x14ac:dyDescent="0.2">
      <c r="A79" s="35">
        <v>45964</v>
      </c>
      <c r="B79" s="33" t="s">
        <v>902</v>
      </c>
      <c r="C79" s="33" t="s">
        <v>49</v>
      </c>
      <c r="D79" s="33" t="s">
        <v>51</v>
      </c>
      <c r="E79" s="34">
        <v>0.01</v>
      </c>
      <c r="F79" s="36">
        <v>450</v>
      </c>
      <c r="G79" s="33" t="s">
        <v>10</v>
      </c>
    </row>
    <row r="80" spans="1:7" x14ac:dyDescent="0.2">
      <c r="A80" s="35">
        <v>45992</v>
      </c>
      <c r="B80" s="33" t="s">
        <v>902</v>
      </c>
      <c r="C80" s="33" t="s">
        <v>49</v>
      </c>
      <c r="D80" s="33" t="s">
        <v>51</v>
      </c>
      <c r="E80" s="34">
        <v>0.01</v>
      </c>
      <c r="F80" s="36">
        <v>450</v>
      </c>
      <c r="G80" s="33" t="s">
        <v>10</v>
      </c>
    </row>
    <row r="81" spans="1:7" x14ac:dyDescent="0.2">
      <c r="A81" s="35">
        <v>45672</v>
      </c>
      <c r="B81" s="33" t="s">
        <v>904</v>
      </c>
      <c r="C81" s="33" t="s">
        <v>38</v>
      </c>
      <c r="D81" s="33" t="s">
        <v>40</v>
      </c>
      <c r="E81" s="34">
        <v>0.01</v>
      </c>
      <c r="F81" s="36">
        <v>156</v>
      </c>
      <c r="G81" s="33" t="s">
        <v>10</v>
      </c>
    </row>
    <row r="82" spans="1:7" x14ac:dyDescent="0.2">
      <c r="A82" s="35">
        <v>45705</v>
      </c>
      <c r="B82" s="33" t="s">
        <v>904</v>
      </c>
      <c r="C82" s="33" t="s">
        <v>38</v>
      </c>
      <c r="D82" s="33" t="s">
        <v>40</v>
      </c>
      <c r="E82" s="34">
        <v>0.01</v>
      </c>
      <c r="F82" s="36">
        <v>156</v>
      </c>
      <c r="G82" s="33" t="s">
        <v>10</v>
      </c>
    </row>
    <row r="83" spans="1:7" x14ac:dyDescent="0.2">
      <c r="A83" s="35">
        <v>45733</v>
      </c>
      <c r="B83" s="33" t="s">
        <v>904</v>
      </c>
      <c r="C83" s="33" t="s">
        <v>38</v>
      </c>
      <c r="D83" s="33" t="s">
        <v>40</v>
      </c>
      <c r="E83" s="34">
        <v>0.01</v>
      </c>
      <c r="F83" s="36">
        <v>156</v>
      </c>
      <c r="G83" s="33" t="s">
        <v>10</v>
      </c>
    </row>
    <row r="84" spans="1:7" x14ac:dyDescent="0.2">
      <c r="A84" s="35">
        <v>45762</v>
      </c>
      <c r="B84" s="33" t="s">
        <v>904</v>
      </c>
      <c r="C84" s="33" t="s">
        <v>38</v>
      </c>
      <c r="D84" s="33" t="s">
        <v>40</v>
      </c>
      <c r="E84" s="34">
        <v>0.01</v>
      </c>
      <c r="F84" s="36">
        <v>156</v>
      </c>
      <c r="G84" s="33" t="s">
        <v>10</v>
      </c>
    </row>
    <row r="85" spans="1:7" x14ac:dyDescent="0.2">
      <c r="A85" s="35">
        <v>45792</v>
      </c>
      <c r="B85" s="33" t="s">
        <v>904</v>
      </c>
      <c r="C85" s="33" t="s">
        <v>38</v>
      </c>
      <c r="D85" s="33" t="s">
        <v>40</v>
      </c>
      <c r="E85" s="34">
        <v>0.01</v>
      </c>
      <c r="F85" s="36">
        <v>156</v>
      </c>
      <c r="G85" s="33" t="s">
        <v>10</v>
      </c>
    </row>
    <row r="86" spans="1:7" x14ac:dyDescent="0.2">
      <c r="A86" s="35">
        <v>45824</v>
      </c>
      <c r="B86" s="33" t="s">
        <v>904</v>
      </c>
      <c r="C86" s="33" t="s">
        <v>38</v>
      </c>
      <c r="D86" s="33" t="s">
        <v>40</v>
      </c>
      <c r="E86" s="34">
        <v>0.01</v>
      </c>
      <c r="F86" s="36">
        <v>156</v>
      </c>
      <c r="G86" s="33" t="s">
        <v>10</v>
      </c>
    </row>
    <row r="87" spans="1:7" x14ac:dyDescent="0.2">
      <c r="A87" s="35">
        <v>45853</v>
      </c>
      <c r="B87" s="33" t="s">
        <v>904</v>
      </c>
      <c r="C87" s="33" t="s">
        <v>38</v>
      </c>
      <c r="D87" s="33" t="s">
        <v>40</v>
      </c>
      <c r="E87" s="34">
        <v>0.01</v>
      </c>
      <c r="F87" s="36">
        <v>156</v>
      </c>
      <c r="G87" s="33" t="s">
        <v>10</v>
      </c>
    </row>
    <row r="88" spans="1:7" x14ac:dyDescent="0.2">
      <c r="A88" s="35">
        <v>45884</v>
      </c>
      <c r="B88" s="33" t="s">
        <v>904</v>
      </c>
      <c r="C88" s="33" t="s">
        <v>38</v>
      </c>
      <c r="D88" s="33" t="s">
        <v>40</v>
      </c>
      <c r="E88" s="34">
        <v>0.01</v>
      </c>
      <c r="F88" s="36">
        <v>156</v>
      </c>
      <c r="G88" s="33" t="s">
        <v>10</v>
      </c>
    </row>
    <row r="89" spans="1:7" x14ac:dyDescent="0.2">
      <c r="A89" s="35">
        <v>45915</v>
      </c>
      <c r="B89" s="33" t="s">
        <v>904</v>
      </c>
      <c r="C89" s="33" t="s">
        <v>38</v>
      </c>
      <c r="D89" s="33" t="s">
        <v>40</v>
      </c>
      <c r="E89" s="34">
        <v>0.01</v>
      </c>
      <c r="F89" s="36">
        <v>156</v>
      </c>
      <c r="G89" s="33" t="s">
        <v>10</v>
      </c>
    </row>
    <row r="90" spans="1:7" x14ac:dyDescent="0.2">
      <c r="A90" s="35">
        <v>45945</v>
      </c>
      <c r="B90" s="33" t="s">
        <v>904</v>
      </c>
      <c r="C90" s="33" t="s">
        <v>38</v>
      </c>
      <c r="D90" s="33" t="s">
        <v>40</v>
      </c>
      <c r="E90" s="34">
        <v>0.01</v>
      </c>
      <c r="F90" s="36">
        <v>156</v>
      </c>
      <c r="G90" s="33" t="s">
        <v>10</v>
      </c>
    </row>
    <row r="91" spans="1:7" x14ac:dyDescent="0.2">
      <c r="A91" s="35">
        <v>45978</v>
      </c>
      <c r="B91" s="33" t="s">
        <v>904</v>
      </c>
      <c r="C91" s="33" t="s">
        <v>38</v>
      </c>
      <c r="D91" s="33" t="s">
        <v>40</v>
      </c>
      <c r="E91" s="34">
        <v>0.01</v>
      </c>
      <c r="F91" s="36">
        <v>156</v>
      </c>
      <c r="G91" s="33" t="s">
        <v>10</v>
      </c>
    </row>
    <row r="92" spans="1:7" x14ac:dyDescent="0.2">
      <c r="A92" s="35">
        <v>46006</v>
      </c>
      <c r="B92" s="33" t="s">
        <v>904</v>
      </c>
      <c r="C92" s="33" t="s">
        <v>38</v>
      </c>
      <c r="D92" s="33" t="s">
        <v>40</v>
      </c>
      <c r="E92" s="34">
        <v>0.01</v>
      </c>
      <c r="F92" s="36">
        <v>156</v>
      </c>
      <c r="G92" s="33" t="s">
        <v>10</v>
      </c>
    </row>
    <row r="93" spans="1:7" x14ac:dyDescent="0.2">
      <c r="A93" s="35">
        <v>45677</v>
      </c>
      <c r="B93" s="33" t="s">
        <v>36</v>
      </c>
      <c r="C93" s="33" t="s">
        <v>906</v>
      </c>
      <c r="D93" s="33" t="s">
        <v>13</v>
      </c>
      <c r="E93" s="34">
        <v>0.01</v>
      </c>
      <c r="F93" s="36">
        <v>14.99</v>
      </c>
      <c r="G93" s="33" t="s">
        <v>10</v>
      </c>
    </row>
    <row r="94" spans="1:7" x14ac:dyDescent="0.2">
      <c r="A94" s="35">
        <v>45706</v>
      </c>
      <c r="B94" s="33" t="s">
        <v>36</v>
      </c>
      <c r="C94" s="33" t="s">
        <v>906</v>
      </c>
      <c r="D94" s="33" t="s">
        <v>13</v>
      </c>
      <c r="E94" s="34">
        <v>0.01</v>
      </c>
      <c r="F94" s="36">
        <v>14.99</v>
      </c>
      <c r="G94" s="33" t="s">
        <v>10</v>
      </c>
    </row>
    <row r="95" spans="1:7" x14ac:dyDescent="0.2">
      <c r="A95" s="35">
        <v>45734</v>
      </c>
      <c r="B95" s="33" t="s">
        <v>36</v>
      </c>
      <c r="C95" s="33" t="s">
        <v>906</v>
      </c>
      <c r="D95" s="33" t="s">
        <v>13</v>
      </c>
      <c r="E95" s="34">
        <v>0.01</v>
      </c>
      <c r="F95" s="36">
        <v>14.99</v>
      </c>
      <c r="G95" s="33" t="s">
        <v>10</v>
      </c>
    </row>
    <row r="96" spans="1:7" x14ac:dyDescent="0.2">
      <c r="A96" s="35">
        <v>45765</v>
      </c>
      <c r="B96" s="33" t="s">
        <v>36</v>
      </c>
      <c r="C96" s="33" t="s">
        <v>906</v>
      </c>
      <c r="D96" s="33" t="s">
        <v>13</v>
      </c>
      <c r="E96" s="34">
        <v>0.01</v>
      </c>
      <c r="F96" s="36">
        <v>14.99</v>
      </c>
      <c r="G96" s="33" t="s">
        <v>10</v>
      </c>
    </row>
    <row r="97" spans="1:7" x14ac:dyDescent="0.2">
      <c r="A97" s="35">
        <v>45796</v>
      </c>
      <c r="B97" s="33" t="s">
        <v>36</v>
      </c>
      <c r="C97" s="33" t="s">
        <v>906</v>
      </c>
      <c r="D97" s="33" t="s">
        <v>13</v>
      </c>
      <c r="E97" s="34">
        <v>0.01</v>
      </c>
      <c r="F97" s="36">
        <v>14.99</v>
      </c>
      <c r="G97" s="33" t="s">
        <v>10</v>
      </c>
    </row>
    <row r="98" spans="1:7" x14ac:dyDescent="0.2">
      <c r="A98" s="35">
        <v>45826</v>
      </c>
      <c r="B98" s="33" t="s">
        <v>36</v>
      </c>
      <c r="C98" s="33" t="s">
        <v>906</v>
      </c>
      <c r="D98" s="33" t="s">
        <v>13</v>
      </c>
      <c r="E98" s="34">
        <v>0.01</v>
      </c>
      <c r="F98" s="36">
        <v>14.99</v>
      </c>
      <c r="G98" s="33" t="s">
        <v>10</v>
      </c>
    </row>
    <row r="99" spans="1:7" x14ac:dyDescent="0.2">
      <c r="A99" s="35">
        <v>45856</v>
      </c>
      <c r="B99" s="33" t="s">
        <v>36</v>
      </c>
      <c r="C99" s="33" t="s">
        <v>906</v>
      </c>
      <c r="D99" s="33" t="s">
        <v>13</v>
      </c>
      <c r="E99" s="34">
        <v>0.01</v>
      </c>
      <c r="F99" s="36">
        <v>14.99</v>
      </c>
      <c r="G99" s="33" t="s">
        <v>10</v>
      </c>
    </row>
    <row r="100" spans="1:7" x14ac:dyDescent="0.2">
      <c r="A100" s="35">
        <v>45887</v>
      </c>
      <c r="B100" s="33" t="s">
        <v>36</v>
      </c>
      <c r="C100" s="33" t="s">
        <v>906</v>
      </c>
      <c r="D100" s="33" t="s">
        <v>13</v>
      </c>
      <c r="E100" s="34">
        <v>0.01</v>
      </c>
      <c r="F100" s="36">
        <v>14.99</v>
      </c>
      <c r="G100" s="33" t="s">
        <v>10</v>
      </c>
    </row>
    <row r="101" spans="1:7" x14ac:dyDescent="0.2">
      <c r="A101" s="35">
        <v>45918</v>
      </c>
      <c r="B101" s="33" t="s">
        <v>36</v>
      </c>
      <c r="C101" s="33" t="s">
        <v>906</v>
      </c>
      <c r="D101" s="33" t="s">
        <v>13</v>
      </c>
      <c r="E101" s="34">
        <v>0.01</v>
      </c>
      <c r="F101" s="36">
        <v>14.99</v>
      </c>
      <c r="G101" s="33" t="s">
        <v>10</v>
      </c>
    </row>
    <row r="102" spans="1:7" x14ac:dyDescent="0.2">
      <c r="A102" s="35">
        <v>45950</v>
      </c>
      <c r="B102" s="33" t="s">
        <v>36</v>
      </c>
      <c r="C102" s="33" t="s">
        <v>906</v>
      </c>
      <c r="D102" s="33" t="s">
        <v>13</v>
      </c>
      <c r="E102" s="34">
        <v>0.01</v>
      </c>
      <c r="F102" s="36">
        <v>14.99</v>
      </c>
      <c r="G102" s="33" t="s">
        <v>10</v>
      </c>
    </row>
    <row r="103" spans="1:7" x14ac:dyDescent="0.2">
      <c r="A103" s="35">
        <v>45979</v>
      </c>
      <c r="B103" s="33" t="s">
        <v>36</v>
      </c>
      <c r="C103" s="33" t="s">
        <v>906</v>
      </c>
      <c r="D103" s="33" t="s">
        <v>13</v>
      </c>
      <c r="E103" s="34">
        <v>0.01</v>
      </c>
      <c r="F103" s="36">
        <v>14.99</v>
      </c>
      <c r="G103" s="33" t="s">
        <v>10</v>
      </c>
    </row>
    <row r="104" spans="1:7" x14ac:dyDescent="0.2">
      <c r="A104" s="35">
        <v>46009</v>
      </c>
      <c r="B104" s="33" t="s">
        <v>36</v>
      </c>
      <c r="C104" s="33" t="s">
        <v>906</v>
      </c>
      <c r="D104" s="33" t="s">
        <v>13</v>
      </c>
      <c r="E104" s="34">
        <v>0.01</v>
      </c>
      <c r="F104" s="36">
        <v>14.99</v>
      </c>
      <c r="G104" s="33" t="s">
        <v>10</v>
      </c>
    </row>
    <row r="105" spans="1:7" x14ac:dyDescent="0.2">
      <c r="A105" s="35">
        <v>45679</v>
      </c>
      <c r="B105" s="33" t="s">
        <v>11</v>
      </c>
      <c r="C105" s="33" t="s">
        <v>908</v>
      </c>
      <c r="D105" s="33" t="s">
        <v>13</v>
      </c>
      <c r="E105" s="34">
        <v>0.01</v>
      </c>
      <c r="F105" s="36">
        <v>52.99</v>
      </c>
      <c r="G105" s="33" t="s">
        <v>10</v>
      </c>
    </row>
    <row r="106" spans="1:7" x14ac:dyDescent="0.2">
      <c r="A106" s="35">
        <v>45712</v>
      </c>
      <c r="B106" s="33" t="s">
        <v>11</v>
      </c>
      <c r="C106" s="33" t="s">
        <v>908</v>
      </c>
      <c r="D106" s="33" t="s">
        <v>13</v>
      </c>
      <c r="E106" s="34">
        <v>0.01</v>
      </c>
      <c r="F106" s="36">
        <v>52.99</v>
      </c>
      <c r="G106" s="33" t="s">
        <v>10</v>
      </c>
    </row>
    <row r="107" spans="1:7" x14ac:dyDescent="0.2">
      <c r="A107" s="35">
        <v>45740</v>
      </c>
      <c r="B107" s="33" t="s">
        <v>11</v>
      </c>
      <c r="C107" s="33" t="s">
        <v>908</v>
      </c>
      <c r="D107" s="33" t="s">
        <v>13</v>
      </c>
      <c r="E107" s="34">
        <v>0.01</v>
      </c>
      <c r="F107" s="36">
        <v>52.99</v>
      </c>
      <c r="G107" s="33" t="s">
        <v>10</v>
      </c>
    </row>
    <row r="108" spans="1:7" x14ac:dyDescent="0.2">
      <c r="A108" s="35">
        <v>45769</v>
      </c>
      <c r="B108" s="33" t="s">
        <v>11</v>
      </c>
      <c r="C108" s="33" t="s">
        <v>908</v>
      </c>
      <c r="D108" s="33" t="s">
        <v>13</v>
      </c>
      <c r="E108" s="34">
        <v>0.01</v>
      </c>
      <c r="F108" s="36">
        <v>52.99</v>
      </c>
      <c r="G108" s="33" t="s">
        <v>10</v>
      </c>
    </row>
    <row r="109" spans="1:7" x14ac:dyDescent="0.2">
      <c r="A109" s="35">
        <v>45799</v>
      </c>
      <c r="B109" s="33" t="s">
        <v>11</v>
      </c>
      <c r="C109" s="33" t="s">
        <v>908</v>
      </c>
      <c r="D109" s="33" t="s">
        <v>13</v>
      </c>
      <c r="E109" s="34">
        <v>0.01</v>
      </c>
      <c r="F109" s="36">
        <v>52.99</v>
      </c>
      <c r="G109" s="33" t="s">
        <v>10</v>
      </c>
    </row>
    <row r="110" spans="1:7" x14ac:dyDescent="0.2">
      <c r="A110" s="35">
        <v>45831</v>
      </c>
      <c r="B110" s="33" t="s">
        <v>11</v>
      </c>
      <c r="C110" s="33" t="s">
        <v>908</v>
      </c>
      <c r="D110" s="33" t="s">
        <v>13</v>
      </c>
      <c r="E110" s="34">
        <v>0.01</v>
      </c>
      <c r="F110" s="36">
        <v>52.99</v>
      </c>
      <c r="G110" s="33" t="s">
        <v>10</v>
      </c>
    </row>
    <row r="111" spans="1:7" x14ac:dyDescent="0.2">
      <c r="A111" s="35">
        <v>45860</v>
      </c>
      <c r="B111" s="33" t="s">
        <v>11</v>
      </c>
      <c r="C111" s="33" t="s">
        <v>908</v>
      </c>
      <c r="D111" s="33" t="s">
        <v>13</v>
      </c>
      <c r="E111" s="34">
        <v>0.01</v>
      </c>
      <c r="F111" s="36">
        <v>52.99</v>
      </c>
      <c r="G111" s="33" t="s">
        <v>10</v>
      </c>
    </row>
    <row r="112" spans="1:7" x14ac:dyDescent="0.2">
      <c r="A112" s="35">
        <v>45891</v>
      </c>
      <c r="B112" s="33" t="s">
        <v>11</v>
      </c>
      <c r="C112" s="33" t="s">
        <v>908</v>
      </c>
      <c r="D112" s="33" t="s">
        <v>13</v>
      </c>
      <c r="E112" s="34">
        <v>0.01</v>
      </c>
      <c r="F112" s="36">
        <v>52.99</v>
      </c>
      <c r="G112" s="33" t="s">
        <v>10</v>
      </c>
    </row>
    <row r="113" spans="1:7" x14ac:dyDescent="0.2">
      <c r="A113" s="35">
        <v>45922</v>
      </c>
      <c r="B113" s="33" t="s">
        <v>11</v>
      </c>
      <c r="C113" s="33" t="s">
        <v>908</v>
      </c>
      <c r="D113" s="33" t="s">
        <v>13</v>
      </c>
      <c r="E113" s="34">
        <v>0.01</v>
      </c>
      <c r="F113" s="36">
        <v>52.99</v>
      </c>
      <c r="G113" s="33" t="s">
        <v>10</v>
      </c>
    </row>
    <row r="114" spans="1:7" x14ac:dyDescent="0.2">
      <c r="A114" s="35">
        <v>45952</v>
      </c>
      <c r="B114" s="33" t="s">
        <v>11</v>
      </c>
      <c r="C114" s="33" t="s">
        <v>908</v>
      </c>
      <c r="D114" s="33" t="s">
        <v>13</v>
      </c>
      <c r="E114" s="34">
        <v>0.01</v>
      </c>
      <c r="F114" s="36">
        <v>52.99</v>
      </c>
      <c r="G114" s="33" t="s">
        <v>10</v>
      </c>
    </row>
    <row r="115" spans="1:7" x14ac:dyDescent="0.2">
      <c r="A115" s="35">
        <v>45985</v>
      </c>
      <c r="B115" s="33" t="s">
        <v>11</v>
      </c>
      <c r="C115" s="33" t="s">
        <v>908</v>
      </c>
      <c r="D115" s="33" t="s">
        <v>13</v>
      </c>
      <c r="E115" s="34">
        <v>0.01</v>
      </c>
      <c r="F115" s="36">
        <v>52.99</v>
      </c>
      <c r="G115" s="33" t="s">
        <v>10</v>
      </c>
    </row>
    <row r="116" spans="1:7" x14ac:dyDescent="0.2">
      <c r="A116" s="35">
        <v>46013</v>
      </c>
      <c r="B116" s="33" t="s">
        <v>11</v>
      </c>
      <c r="C116" s="33" t="s">
        <v>908</v>
      </c>
      <c r="D116" s="33" t="s">
        <v>13</v>
      </c>
      <c r="E116" s="34">
        <v>0.01</v>
      </c>
      <c r="F116" s="36">
        <v>52.99</v>
      </c>
      <c r="G116" s="33" t="s">
        <v>10</v>
      </c>
    </row>
    <row r="117" spans="1:7" x14ac:dyDescent="0.2">
      <c r="A117" s="35">
        <v>45670</v>
      </c>
      <c r="B117" s="33" t="s">
        <v>910</v>
      </c>
      <c r="C117" s="33" t="s">
        <v>70</v>
      </c>
      <c r="D117" s="33" t="s">
        <v>30</v>
      </c>
      <c r="E117" s="34">
        <v>0.01</v>
      </c>
      <c r="F117" s="36">
        <v>12.99</v>
      </c>
      <c r="G117" s="33" t="s">
        <v>10</v>
      </c>
    </row>
    <row r="118" spans="1:7" x14ac:dyDescent="0.2">
      <c r="A118" s="35">
        <v>45700</v>
      </c>
      <c r="B118" s="33" t="s">
        <v>910</v>
      </c>
      <c r="C118" s="33" t="s">
        <v>70</v>
      </c>
      <c r="D118" s="33" t="s">
        <v>30</v>
      </c>
      <c r="E118" s="34">
        <v>0.01</v>
      </c>
      <c r="F118" s="36">
        <v>12.99</v>
      </c>
      <c r="G118" s="33" t="s">
        <v>10</v>
      </c>
    </row>
    <row r="119" spans="1:7" x14ac:dyDescent="0.2">
      <c r="A119" s="35">
        <v>45728</v>
      </c>
      <c r="B119" s="33" t="s">
        <v>910</v>
      </c>
      <c r="C119" s="33" t="s">
        <v>70</v>
      </c>
      <c r="D119" s="33" t="s">
        <v>30</v>
      </c>
      <c r="E119" s="34">
        <v>0.01</v>
      </c>
      <c r="F119" s="36">
        <v>12.99</v>
      </c>
      <c r="G119" s="33" t="s">
        <v>10</v>
      </c>
    </row>
    <row r="120" spans="1:7" x14ac:dyDescent="0.2">
      <c r="A120" s="35">
        <v>45761</v>
      </c>
      <c r="B120" s="33" t="s">
        <v>910</v>
      </c>
      <c r="C120" s="33" t="s">
        <v>70</v>
      </c>
      <c r="D120" s="33" t="s">
        <v>30</v>
      </c>
      <c r="E120" s="34">
        <v>0.01</v>
      </c>
      <c r="F120" s="36">
        <v>12.99</v>
      </c>
      <c r="G120" s="33" t="s">
        <v>10</v>
      </c>
    </row>
    <row r="121" spans="1:7" x14ac:dyDescent="0.2">
      <c r="A121" s="35">
        <v>45789</v>
      </c>
      <c r="B121" s="33" t="s">
        <v>910</v>
      </c>
      <c r="C121" s="33" t="s">
        <v>70</v>
      </c>
      <c r="D121" s="33" t="s">
        <v>30</v>
      </c>
      <c r="E121" s="34">
        <v>0.01</v>
      </c>
      <c r="F121" s="36">
        <v>12.99</v>
      </c>
      <c r="G121" s="33" t="s">
        <v>10</v>
      </c>
    </row>
    <row r="122" spans="1:7" x14ac:dyDescent="0.2">
      <c r="A122" s="35">
        <v>45820</v>
      </c>
      <c r="B122" s="33" t="s">
        <v>910</v>
      </c>
      <c r="C122" s="33" t="s">
        <v>70</v>
      </c>
      <c r="D122" s="33" t="s">
        <v>30</v>
      </c>
      <c r="E122" s="34">
        <v>0.01</v>
      </c>
      <c r="F122" s="36">
        <v>12.99</v>
      </c>
      <c r="G122" s="33" t="s">
        <v>10</v>
      </c>
    </row>
    <row r="123" spans="1:7" x14ac:dyDescent="0.2">
      <c r="A123" s="35">
        <v>45852</v>
      </c>
      <c r="B123" s="33" t="s">
        <v>910</v>
      </c>
      <c r="C123" s="33" t="s">
        <v>70</v>
      </c>
      <c r="D123" s="33" t="s">
        <v>30</v>
      </c>
      <c r="E123" s="34">
        <v>0.01</v>
      </c>
      <c r="F123" s="36">
        <v>12.99</v>
      </c>
      <c r="G123" s="33" t="s">
        <v>10</v>
      </c>
    </row>
    <row r="124" spans="1:7" x14ac:dyDescent="0.2">
      <c r="A124" s="35">
        <v>45881</v>
      </c>
      <c r="B124" s="33" t="s">
        <v>910</v>
      </c>
      <c r="C124" s="33" t="s">
        <v>70</v>
      </c>
      <c r="D124" s="33" t="s">
        <v>30</v>
      </c>
      <c r="E124" s="34">
        <v>0.01</v>
      </c>
      <c r="F124" s="36">
        <v>12.99</v>
      </c>
      <c r="G124" s="33" t="s">
        <v>10</v>
      </c>
    </row>
    <row r="125" spans="1:7" x14ac:dyDescent="0.2">
      <c r="A125" s="35">
        <v>45912</v>
      </c>
      <c r="B125" s="33" t="s">
        <v>910</v>
      </c>
      <c r="C125" s="33" t="s">
        <v>70</v>
      </c>
      <c r="D125" s="33" t="s">
        <v>30</v>
      </c>
      <c r="E125" s="34">
        <v>0.01</v>
      </c>
      <c r="F125" s="36">
        <v>12.99</v>
      </c>
      <c r="G125" s="33" t="s">
        <v>10</v>
      </c>
    </row>
    <row r="126" spans="1:7" x14ac:dyDescent="0.2">
      <c r="A126" s="35">
        <v>45943</v>
      </c>
      <c r="B126" s="33" t="s">
        <v>910</v>
      </c>
      <c r="C126" s="33" t="s">
        <v>70</v>
      </c>
      <c r="D126" s="33" t="s">
        <v>30</v>
      </c>
      <c r="E126" s="34">
        <v>0.01</v>
      </c>
      <c r="F126" s="36">
        <v>12.99</v>
      </c>
      <c r="G126" s="33" t="s">
        <v>10</v>
      </c>
    </row>
    <row r="127" spans="1:7" x14ac:dyDescent="0.2">
      <c r="A127" s="35">
        <v>45973</v>
      </c>
      <c r="B127" s="33" t="s">
        <v>910</v>
      </c>
      <c r="C127" s="33" t="s">
        <v>70</v>
      </c>
      <c r="D127" s="33" t="s">
        <v>30</v>
      </c>
      <c r="E127" s="34">
        <v>0.01</v>
      </c>
      <c r="F127" s="36">
        <v>12.99</v>
      </c>
      <c r="G127" s="33" t="s">
        <v>10</v>
      </c>
    </row>
    <row r="128" spans="1:7" x14ac:dyDescent="0.2">
      <c r="A128" s="35">
        <v>46003</v>
      </c>
      <c r="B128" s="33" t="s">
        <v>910</v>
      </c>
      <c r="C128" s="33" t="s">
        <v>70</v>
      </c>
      <c r="D128" s="33" t="s">
        <v>30</v>
      </c>
      <c r="E128" s="34">
        <v>0.01</v>
      </c>
      <c r="F128" s="36">
        <v>12.99</v>
      </c>
      <c r="G128" s="33" t="s">
        <v>10</v>
      </c>
    </row>
    <row r="129" spans="1:7" x14ac:dyDescent="0.2">
      <c r="A129" s="35">
        <v>45658</v>
      </c>
      <c r="B129" s="33" t="s">
        <v>260</v>
      </c>
      <c r="C129" s="33" t="s">
        <v>64</v>
      </c>
      <c r="D129" s="33" t="s">
        <v>33</v>
      </c>
      <c r="E129" s="34">
        <v>0.01</v>
      </c>
      <c r="F129" s="36">
        <v>275</v>
      </c>
      <c r="G129" s="33" t="s">
        <v>10</v>
      </c>
    </row>
    <row r="130" spans="1:7" x14ac:dyDescent="0.2">
      <c r="A130" s="35">
        <v>45672</v>
      </c>
      <c r="B130" s="33" t="s">
        <v>912</v>
      </c>
      <c r="C130" s="33" t="s">
        <v>58</v>
      </c>
      <c r="D130" s="33" t="s">
        <v>48</v>
      </c>
      <c r="E130" s="34">
        <v>0.01</v>
      </c>
      <c r="F130" s="36">
        <v>39.99</v>
      </c>
      <c r="G130" s="33" t="s">
        <v>10</v>
      </c>
    </row>
    <row r="131" spans="1:7" x14ac:dyDescent="0.2">
      <c r="A131" s="35">
        <v>45705</v>
      </c>
      <c r="B131" s="33" t="s">
        <v>912</v>
      </c>
      <c r="C131" s="33" t="s">
        <v>58</v>
      </c>
      <c r="D131" s="33" t="s">
        <v>48</v>
      </c>
      <c r="E131" s="34">
        <v>0.01</v>
      </c>
      <c r="F131" s="36">
        <v>39.99</v>
      </c>
      <c r="G131" s="33" t="s">
        <v>10</v>
      </c>
    </row>
    <row r="132" spans="1:7" x14ac:dyDescent="0.2">
      <c r="A132" s="35">
        <v>45733</v>
      </c>
      <c r="B132" s="33" t="s">
        <v>912</v>
      </c>
      <c r="C132" s="33" t="s">
        <v>58</v>
      </c>
      <c r="D132" s="33" t="s">
        <v>48</v>
      </c>
      <c r="E132" s="34">
        <v>0.01</v>
      </c>
      <c r="F132" s="36">
        <v>39.99</v>
      </c>
      <c r="G132" s="33" t="s">
        <v>10</v>
      </c>
    </row>
    <row r="133" spans="1:7" x14ac:dyDescent="0.2">
      <c r="A133" s="35">
        <v>45762</v>
      </c>
      <c r="B133" s="33" t="s">
        <v>912</v>
      </c>
      <c r="C133" s="33" t="s">
        <v>58</v>
      </c>
      <c r="D133" s="33" t="s">
        <v>48</v>
      </c>
      <c r="E133" s="34">
        <v>0.01</v>
      </c>
      <c r="F133" s="36">
        <v>39.99</v>
      </c>
      <c r="G133" s="33" t="s">
        <v>10</v>
      </c>
    </row>
    <row r="134" spans="1:7" x14ac:dyDescent="0.2">
      <c r="A134" s="35">
        <v>45792</v>
      </c>
      <c r="B134" s="33" t="s">
        <v>912</v>
      </c>
      <c r="C134" s="33" t="s">
        <v>58</v>
      </c>
      <c r="D134" s="33" t="s">
        <v>48</v>
      </c>
      <c r="E134" s="34">
        <v>0.01</v>
      </c>
      <c r="F134" s="36">
        <v>39.99</v>
      </c>
      <c r="G134" s="33" t="s">
        <v>10</v>
      </c>
    </row>
    <row r="135" spans="1:7" x14ac:dyDescent="0.2">
      <c r="A135" s="35">
        <v>45824</v>
      </c>
      <c r="B135" s="33" t="s">
        <v>912</v>
      </c>
      <c r="C135" s="33" t="s">
        <v>58</v>
      </c>
      <c r="D135" s="33" t="s">
        <v>48</v>
      </c>
      <c r="E135" s="34">
        <v>0.01</v>
      </c>
      <c r="F135" s="36">
        <v>39.99</v>
      </c>
      <c r="G135" s="33" t="s">
        <v>10</v>
      </c>
    </row>
    <row r="136" spans="1:7" x14ac:dyDescent="0.2">
      <c r="A136" s="35">
        <v>45853</v>
      </c>
      <c r="B136" s="33" t="s">
        <v>912</v>
      </c>
      <c r="C136" s="33" t="s">
        <v>58</v>
      </c>
      <c r="D136" s="33" t="s">
        <v>48</v>
      </c>
      <c r="E136" s="34">
        <v>0.01</v>
      </c>
      <c r="F136" s="36">
        <v>39.99</v>
      </c>
      <c r="G136" s="33" t="s">
        <v>10</v>
      </c>
    </row>
    <row r="137" spans="1:7" x14ac:dyDescent="0.2">
      <c r="A137" s="35">
        <v>45884</v>
      </c>
      <c r="B137" s="33" t="s">
        <v>912</v>
      </c>
      <c r="C137" s="33" t="s">
        <v>58</v>
      </c>
      <c r="D137" s="33" t="s">
        <v>48</v>
      </c>
      <c r="E137" s="34">
        <v>0.01</v>
      </c>
      <c r="F137" s="36">
        <v>39.99</v>
      </c>
      <c r="G137" s="33" t="s">
        <v>10</v>
      </c>
    </row>
    <row r="138" spans="1:7" x14ac:dyDescent="0.2">
      <c r="A138" s="35">
        <v>45915</v>
      </c>
      <c r="B138" s="33" t="s">
        <v>912</v>
      </c>
      <c r="C138" s="33" t="s">
        <v>58</v>
      </c>
      <c r="D138" s="33" t="s">
        <v>48</v>
      </c>
      <c r="E138" s="34">
        <v>0.01</v>
      </c>
      <c r="F138" s="36">
        <v>39.99</v>
      </c>
      <c r="G138" s="33" t="s">
        <v>10</v>
      </c>
    </row>
    <row r="139" spans="1:7" x14ac:dyDescent="0.2">
      <c r="A139" s="35">
        <v>45945</v>
      </c>
      <c r="B139" s="33" t="s">
        <v>912</v>
      </c>
      <c r="C139" s="33" t="s">
        <v>58</v>
      </c>
      <c r="D139" s="33" t="s">
        <v>48</v>
      </c>
      <c r="E139" s="34">
        <v>0.01</v>
      </c>
      <c r="F139" s="36">
        <v>39.99</v>
      </c>
      <c r="G139" s="33" t="s">
        <v>10</v>
      </c>
    </row>
    <row r="140" spans="1:7" x14ac:dyDescent="0.2">
      <c r="A140" s="35">
        <v>45978</v>
      </c>
      <c r="B140" s="33" t="s">
        <v>912</v>
      </c>
      <c r="C140" s="33" t="s">
        <v>58</v>
      </c>
      <c r="D140" s="33" t="s">
        <v>48</v>
      </c>
      <c r="E140" s="34">
        <v>0.01</v>
      </c>
      <c r="F140" s="36">
        <v>39.99</v>
      </c>
      <c r="G140" s="33" t="s">
        <v>10</v>
      </c>
    </row>
    <row r="141" spans="1:7" x14ac:dyDescent="0.2">
      <c r="A141" s="35">
        <v>46006</v>
      </c>
      <c r="B141" s="33" t="s">
        <v>912</v>
      </c>
      <c r="C141" s="33" t="s">
        <v>58</v>
      </c>
      <c r="D141" s="33" t="s">
        <v>48</v>
      </c>
      <c r="E141" s="34">
        <v>0.01</v>
      </c>
      <c r="F141" s="36">
        <v>39.99</v>
      </c>
      <c r="G141" s="33" t="s">
        <v>10</v>
      </c>
    </row>
    <row r="142" spans="1:7" x14ac:dyDescent="0.2">
      <c r="A142" s="35">
        <v>45687</v>
      </c>
      <c r="B142" s="33" t="s">
        <v>915</v>
      </c>
      <c r="C142" s="33" t="s">
        <v>914</v>
      </c>
      <c r="D142" s="33" t="s">
        <v>43</v>
      </c>
      <c r="E142" s="34">
        <v>0.01</v>
      </c>
      <c r="F142" s="36">
        <v>12</v>
      </c>
      <c r="G142" s="33" t="s">
        <v>10</v>
      </c>
    </row>
    <row r="143" spans="1:7" x14ac:dyDescent="0.2">
      <c r="A143" s="35">
        <v>45716</v>
      </c>
      <c r="B143" s="33" t="s">
        <v>915</v>
      </c>
      <c r="C143" s="33" t="s">
        <v>914</v>
      </c>
      <c r="D143" s="33" t="s">
        <v>43</v>
      </c>
      <c r="E143" s="34">
        <v>0.01</v>
      </c>
      <c r="F143" s="36">
        <v>12</v>
      </c>
      <c r="G143" s="33" t="s">
        <v>10</v>
      </c>
    </row>
    <row r="144" spans="1:7" x14ac:dyDescent="0.2">
      <c r="A144" s="35">
        <v>45747</v>
      </c>
      <c r="B144" s="33" t="s">
        <v>915</v>
      </c>
      <c r="C144" s="33" t="s">
        <v>914</v>
      </c>
      <c r="D144" s="33" t="s">
        <v>43</v>
      </c>
      <c r="E144" s="34">
        <v>0.01</v>
      </c>
      <c r="F144" s="36">
        <v>12</v>
      </c>
      <c r="G144" s="33" t="s">
        <v>10</v>
      </c>
    </row>
    <row r="145" spans="1:7" x14ac:dyDescent="0.2">
      <c r="A145" s="35">
        <v>45777</v>
      </c>
      <c r="B145" s="33" t="s">
        <v>915</v>
      </c>
      <c r="C145" s="33" t="s">
        <v>914</v>
      </c>
      <c r="D145" s="33" t="s">
        <v>43</v>
      </c>
      <c r="E145" s="34">
        <v>0.01</v>
      </c>
      <c r="F145" s="36">
        <v>12</v>
      </c>
      <c r="G145" s="33" t="s">
        <v>10</v>
      </c>
    </row>
    <row r="146" spans="1:7" x14ac:dyDescent="0.2">
      <c r="A146" s="35">
        <v>45807</v>
      </c>
      <c r="B146" s="33" t="s">
        <v>915</v>
      </c>
      <c r="C146" s="33" t="s">
        <v>914</v>
      </c>
      <c r="D146" s="33" t="s">
        <v>43</v>
      </c>
      <c r="E146" s="34">
        <v>0.01</v>
      </c>
      <c r="F146" s="36">
        <v>12</v>
      </c>
      <c r="G146" s="33" t="s">
        <v>10</v>
      </c>
    </row>
    <row r="147" spans="1:7" x14ac:dyDescent="0.2">
      <c r="A147" s="35">
        <v>45838</v>
      </c>
      <c r="B147" s="33" t="s">
        <v>915</v>
      </c>
      <c r="C147" s="33" t="s">
        <v>914</v>
      </c>
      <c r="D147" s="33" t="s">
        <v>43</v>
      </c>
      <c r="E147" s="34">
        <v>0.01</v>
      </c>
      <c r="F147" s="36">
        <v>12</v>
      </c>
      <c r="G147" s="33" t="s">
        <v>10</v>
      </c>
    </row>
    <row r="148" spans="1:7" x14ac:dyDescent="0.2">
      <c r="A148" s="35">
        <v>45868</v>
      </c>
      <c r="B148" s="33" t="s">
        <v>915</v>
      </c>
      <c r="C148" s="33" t="s">
        <v>914</v>
      </c>
      <c r="D148" s="33" t="s">
        <v>43</v>
      </c>
      <c r="E148" s="34">
        <v>0.01</v>
      </c>
      <c r="F148" s="36">
        <v>12</v>
      </c>
      <c r="G148" s="33" t="s">
        <v>10</v>
      </c>
    </row>
    <row r="149" spans="1:7" x14ac:dyDescent="0.2">
      <c r="A149" s="35">
        <v>45901</v>
      </c>
      <c r="B149" s="33" t="s">
        <v>915</v>
      </c>
      <c r="C149" s="33" t="s">
        <v>914</v>
      </c>
      <c r="D149" s="33" t="s">
        <v>43</v>
      </c>
      <c r="E149" s="34">
        <v>0.01</v>
      </c>
      <c r="F149" s="36">
        <v>12</v>
      </c>
      <c r="G149" s="33" t="s">
        <v>10</v>
      </c>
    </row>
    <row r="150" spans="1:7" x14ac:dyDescent="0.2">
      <c r="A150" s="35">
        <v>45930</v>
      </c>
      <c r="B150" s="33" t="s">
        <v>915</v>
      </c>
      <c r="C150" s="33" t="s">
        <v>914</v>
      </c>
      <c r="D150" s="33" t="s">
        <v>43</v>
      </c>
      <c r="E150" s="34">
        <v>0.01</v>
      </c>
      <c r="F150" s="36">
        <v>12</v>
      </c>
      <c r="G150" s="33" t="s">
        <v>10</v>
      </c>
    </row>
    <row r="151" spans="1:7" x14ac:dyDescent="0.2">
      <c r="A151" s="35">
        <v>45960</v>
      </c>
      <c r="B151" s="33" t="s">
        <v>915</v>
      </c>
      <c r="C151" s="33" t="s">
        <v>914</v>
      </c>
      <c r="D151" s="33" t="s">
        <v>43</v>
      </c>
      <c r="E151" s="34">
        <v>0.01</v>
      </c>
      <c r="F151" s="36">
        <v>12</v>
      </c>
      <c r="G151" s="33" t="s">
        <v>10</v>
      </c>
    </row>
    <row r="152" spans="1:7" x14ac:dyDescent="0.2">
      <c r="A152" s="35">
        <v>45992</v>
      </c>
      <c r="B152" s="33" t="s">
        <v>915</v>
      </c>
      <c r="C152" s="33" t="s">
        <v>914</v>
      </c>
      <c r="D152" s="33" t="s">
        <v>43</v>
      </c>
      <c r="E152" s="34">
        <v>0.01</v>
      </c>
      <c r="F152" s="36">
        <v>12</v>
      </c>
      <c r="G152" s="33" t="s">
        <v>10</v>
      </c>
    </row>
    <row r="153" spans="1:7" x14ac:dyDescent="0.2">
      <c r="A153" s="35">
        <v>46021</v>
      </c>
      <c r="B153" s="33" t="s">
        <v>915</v>
      </c>
      <c r="C153" s="33" t="s">
        <v>914</v>
      </c>
      <c r="D153" s="33" t="s">
        <v>43</v>
      </c>
      <c r="E153" s="34">
        <v>0.01</v>
      </c>
      <c r="F153" s="36">
        <v>12</v>
      </c>
      <c r="G153" s="33" t="s">
        <v>10</v>
      </c>
    </row>
    <row r="154" spans="1:7" x14ac:dyDescent="0.2">
      <c r="A154" s="35">
        <v>45658</v>
      </c>
      <c r="B154" s="33" t="s">
        <v>918</v>
      </c>
      <c r="C154" s="33" t="s">
        <v>917</v>
      </c>
      <c r="D154" s="33" t="s">
        <v>76</v>
      </c>
      <c r="E154" s="34">
        <v>0.01</v>
      </c>
      <c r="F154" s="36">
        <v>85</v>
      </c>
      <c r="G154" s="33" t="s">
        <v>10</v>
      </c>
    </row>
    <row r="155" spans="1:7" x14ac:dyDescent="0.2">
      <c r="A155" s="35">
        <v>45691</v>
      </c>
      <c r="B155" s="33" t="s">
        <v>918</v>
      </c>
      <c r="C155" s="33" t="s">
        <v>917</v>
      </c>
      <c r="D155" s="33" t="s">
        <v>76</v>
      </c>
      <c r="E155" s="34">
        <v>0.01</v>
      </c>
      <c r="F155" s="36">
        <v>85</v>
      </c>
      <c r="G155" s="33" t="s">
        <v>10</v>
      </c>
    </row>
    <row r="156" spans="1:7" x14ac:dyDescent="0.2">
      <c r="A156" s="35">
        <v>45719</v>
      </c>
      <c r="B156" s="33" t="s">
        <v>918</v>
      </c>
      <c r="C156" s="33" t="s">
        <v>917</v>
      </c>
      <c r="D156" s="33" t="s">
        <v>76</v>
      </c>
      <c r="E156" s="34">
        <v>0.01</v>
      </c>
      <c r="F156" s="36">
        <v>85</v>
      </c>
      <c r="G156" s="33" t="s">
        <v>10</v>
      </c>
    </row>
    <row r="157" spans="1:7" x14ac:dyDescent="0.2">
      <c r="A157" s="35">
        <v>45748</v>
      </c>
      <c r="B157" s="33" t="s">
        <v>918</v>
      </c>
      <c r="C157" s="33" t="s">
        <v>917</v>
      </c>
      <c r="D157" s="33" t="s">
        <v>76</v>
      </c>
      <c r="E157" s="34">
        <v>0.01</v>
      </c>
      <c r="F157" s="36">
        <v>85</v>
      </c>
      <c r="G157" s="33" t="s">
        <v>10</v>
      </c>
    </row>
    <row r="158" spans="1:7" x14ac:dyDescent="0.2">
      <c r="A158" s="35">
        <v>45778</v>
      </c>
      <c r="B158" s="33" t="s">
        <v>918</v>
      </c>
      <c r="C158" s="33" t="s">
        <v>917</v>
      </c>
      <c r="D158" s="33" t="s">
        <v>76</v>
      </c>
      <c r="E158" s="34">
        <v>0.01</v>
      </c>
      <c r="F158" s="36">
        <v>85</v>
      </c>
      <c r="G158" s="33" t="s">
        <v>10</v>
      </c>
    </row>
    <row r="159" spans="1:7" x14ac:dyDescent="0.2">
      <c r="A159" s="35">
        <v>45810</v>
      </c>
      <c r="B159" s="33" t="s">
        <v>918</v>
      </c>
      <c r="C159" s="33" t="s">
        <v>917</v>
      </c>
      <c r="D159" s="33" t="s">
        <v>76</v>
      </c>
      <c r="E159" s="34">
        <v>0.01</v>
      </c>
      <c r="F159" s="36">
        <v>85</v>
      </c>
      <c r="G159" s="33" t="s">
        <v>10</v>
      </c>
    </row>
    <row r="160" spans="1:7" x14ac:dyDescent="0.2">
      <c r="A160" s="35">
        <v>45839</v>
      </c>
      <c r="B160" s="33" t="s">
        <v>918</v>
      </c>
      <c r="C160" s="33" t="s">
        <v>917</v>
      </c>
      <c r="D160" s="33" t="s">
        <v>76</v>
      </c>
      <c r="E160" s="34">
        <v>0.01</v>
      </c>
      <c r="F160" s="36">
        <v>85</v>
      </c>
      <c r="G160" s="33" t="s">
        <v>10</v>
      </c>
    </row>
    <row r="161" spans="1:7" x14ac:dyDescent="0.2">
      <c r="A161" s="35">
        <v>45870</v>
      </c>
      <c r="B161" s="33" t="s">
        <v>918</v>
      </c>
      <c r="C161" s="33" t="s">
        <v>917</v>
      </c>
      <c r="D161" s="33" t="s">
        <v>76</v>
      </c>
      <c r="E161" s="34">
        <v>0.01</v>
      </c>
      <c r="F161" s="36">
        <v>85</v>
      </c>
      <c r="G161" s="33" t="s">
        <v>10</v>
      </c>
    </row>
    <row r="162" spans="1:7" x14ac:dyDescent="0.2">
      <c r="A162" s="35">
        <v>45901</v>
      </c>
      <c r="B162" s="33" t="s">
        <v>918</v>
      </c>
      <c r="C162" s="33" t="s">
        <v>917</v>
      </c>
      <c r="D162" s="33" t="s">
        <v>76</v>
      </c>
      <c r="E162" s="34">
        <v>0.01</v>
      </c>
      <c r="F162" s="36">
        <v>85</v>
      </c>
      <c r="G162" s="33" t="s">
        <v>10</v>
      </c>
    </row>
    <row r="163" spans="1:7" x14ac:dyDescent="0.2">
      <c r="A163" s="35">
        <v>45931</v>
      </c>
      <c r="B163" s="33" t="s">
        <v>918</v>
      </c>
      <c r="C163" s="33" t="s">
        <v>917</v>
      </c>
      <c r="D163" s="33" t="s">
        <v>76</v>
      </c>
      <c r="E163" s="34">
        <v>0.01</v>
      </c>
      <c r="F163" s="36">
        <v>85</v>
      </c>
      <c r="G163" s="33" t="s">
        <v>10</v>
      </c>
    </row>
    <row r="164" spans="1:7" x14ac:dyDescent="0.2">
      <c r="A164" s="35">
        <v>45964</v>
      </c>
      <c r="B164" s="33" t="s">
        <v>918</v>
      </c>
      <c r="C164" s="33" t="s">
        <v>917</v>
      </c>
      <c r="D164" s="33" t="s">
        <v>76</v>
      </c>
      <c r="E164" s="34">
        <v>0.01</v>
      </c>
      <c r="F164" s="36">
        <v>85</v>
      </c>
      <c r="G164" s="33" t="s">
        <v>10</v>
      </c>
    </row>
    <row r="165" spans="1:7" x14ac:dyDescent="0.2">
      <c r="A165" s="35">
        <v>45992</v>
      </c>
      <c r="B165" s="33" t="s">
        <v>918</v>
      </c>
      <c r="C165" s="33" t="s">
        <v>917</v>
      </c>
      <c r="D165" s="33" t="s">
        <v>76</v>
      </c>
      <c r="E165" s="34">
        <v>0.01</v>
      </c>
      <c r="F165" s="36">
        <v>85</v>
      </c>
      <c r="G165" s="33" t="s">
        <v>10</v>
      </c>
    </row>
    <row r="166" spans="1:7" x14ac:dyDescent="0.2">
      <c r="A166"/>
      <c r="E166"/>
      <c r="F166"/>
      <c r="G166"/>
    </row>
    <row r="167" spans="1:7" x14ac:dyDescent="0.2">
      <c r="A167"/>
      <c r="E167"/>
      <c r="F167"/>
      <c r="G167"/>
    </row>
    <row r="168" spans="1:7" x14ac:dyDescent="0.2">
      <c r="A168"/>
      <c r="E168"/>
      <c r="F168"/>
      <c r="G168"/>
    </row>
    <row r="169" spans="1:7" x14ac:dyDescent="0.2">
      <c r="A169"/>
      <c r="E169"/>
      <c r="F169"/>
      <c r="G169"/>
    </row>
    <row r="170" spans="1:7" x14ac:dyDescent="0.2">
      <c r="A170"/>
      <c r="E170"/>
      <c r="F170"/>
      <c r="G170"/>
    </row>
    <row r="171" spans="1:7" x14ac:dyDescent="0.2">
      <c r="A171"/>
      <c r="E171"/>
      <c r="F171"/>
      <c r="G171"/>
    </row>
    <row r="172" spans="1:7" x14ac:dyDescent="0.2">
      <c r="A172"/>
      <c r="E172"/>
      <c r="F172"/>
      <c r="G172"/>
    </row>
    <row r="173" spans="1:7" x14ac:dyDescent="0.2">
      <c r="A173"/>
      <c r="E173"/>
      <c r="F173"/>
      <c r="G173"/>
    </row>
    <row r="174" spans="1:7" x14ac:dyDescent="0.2">
      <c r="A174"/>
      <c r="E174"/>
      <c r="F174"/>
      <c r="G174"/>
    </row>
    <row r="175" spans="1:7" x14ac:dyDescent="0.2">
      <c r="A175"/>
      <c r="E175"/>
      <c r="F175"/>
      <c r="G175"/>
    </row>
    <row r="176" spans="1:7" x14ac:dyDescent="0.2">
      <c r="A176"/>
      <c r="E176"/>
      <c r="F176"/>
      <c r="G176"/>
    </row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</sheetData>
  <dataValidations count="2">
    <dataValidation type="list" allowBlank="1" showInputMessage="1" showErrorMessage="1" sqref="D1:D1048576" xr:uid="{CF52A3C9-9BBB-B243-945A-A4D68822726D}">
      <formula1>"Office Supplies,Equipment &amp; Software,Professional Services,Marketing &amp; Advertising,Utilities,Rent,Insurance,Meals &amp; Entertainment,Conference &amp; Training,Subscriptions &amp; Memberships,Legal &amp; Professional Fees,Bank Fees,Other Business Expenses"</formula1>
    </dataValidation>
    <dataValidation type="list" allowBlank="1" showInputMessage="1" showErrorMessage="1" sqref="G1:G1048576" xr:uid="{3FB81CC3-EC6A-BC4D-9528-0C59579F3573}">
      <formula1>"Yes,No,Digital,Lost"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autoFill="0" autoPict="0" macro="[0]!RefreshAll">
                <anchor moveWithCells="1" sizeWithCells="1">
                  <from>
                    <xdr:col>8</xdr:col>
                    <xdr:colOff>127000</xdr:colOff>
                    <xdr:row>3</xdr:row>
                    <xdr:rowOff>152400</xdr:rowOff>
                  </from>
                  <to>
                    <xdr:col>8</xdr:col>
                    <xdr:colOff>1320800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autoFill="0" autoPict="0" macro="[0]!NavigateToDashboard">
                <anchor moveWithCells="1" sizeWithCells="1">
                  <from>
                    <xdr:col>8</xdr:col>
                    <xdr:colOff>1600200</xdr:colOff>
                    <xdr:row>0</xdr:row>
                    <xdr:rowOff>330200</xdr:rowOff>
                  </from>
                  <to>
                    <xdr:col>10</xdr:col>
                    <xdr:colOff>228600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autoFill="0" autoPict="0" macro="[0]!ExportToTaxSoftware">
                <anchor moveWithCells="1" sizeWithCells="1">
                  <from>
                    <xdr:col>8</xdr:col>
                    <xdr:colOff>1752600</xdr:colOff>
                    <xdr:row>3</xdr:row>
                    <xdr:rowOff>177800</xdr:rowOff>
                  </from>
                  <to>
                    <xdr:col>10</xdr:col>
                    <xdr:colOff>63500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Group Box 6">
              <controlPr defaultSize="0" autoFill="0" autoPict="0">
                <anchor moveWithCells="1">
                  <from>
                    <xdr:col>7</xdr:col>
                    <xdr:colOff>317500</xdr:colOff>
                    <xdr:row>9</xdr:row>
                    <xdr:rowOff>38100</xdr:rowOff>
                  </from>
                  <to>
                    <xdr:col>9</xdr:col>
                    <xdr:colOff>863600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" name="Group Box 16">
              <controlPr defaultSize="0" autoFill="0" autoPict="0">
                <anchor moveWithCells="1">
                  <from>
                    <xdr:col>7</xdr:col>
                    <xdr:colOff>330200</xdr:colOff>
                    <xdr:row>0</xdr:row>
                    <xdr:rowOff>190500</xdr:rowOff>
                  </from>
                  <to>
                    <xdr:col>10</xdr:col>
                    <xdr:colOff>419100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 macro="[0]!QuickNavigation">
                <anchor moveWithCells="1" sizeWithCells="1">
                  <from>
                    <xdr:col>8</xdr:col>
                    <xdr:colOff>101600</xdr:colOff>
                    <xdr:row>1</xdr:row>
                    <xdr:rowOff>12700</xdr:rowOff>
                  </from>
                  <to>
                    <xdr:col>8</xdr:col>
                    <xdr:colOff>1231900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FF945-15C6-914B-8C13-CA1FC1AA06A1}">
  <sheetPr codeName="Sheet3"/>
  <dimension ref="A1:K61"/>
  <sheetViews>
    <sheetView workbookViewId="0">
      <selection activeCell="G16" sqref="G16"/>
    </sheetView>
  </sheetViews>
  <sheetFormatPr baseColWidth="10" defaultRowHeight="16" x14ac:dyDescent="0.2"/>
  <cols>
    <col min="1" max="1" width="8.5" bestFit="1" customWidth="1"/>
    <col min="2" max="2" width="20.33203125" bestFit="1" customWidth="1"/>
    <col min="3" max="3" width="12" bestFit="1" customWidth="1"/>
    <col min="4" max="4" width="10.6640625" bestFit="1" customWidth="1"/>
    <col min="5" max="5" width="17.1640625" bestFit="1" customWidth="1"/>
    <col min="6" max="6" width="5.83203125" customWidth="1"/>
    <col min="7" max="7" width="29.83203125" bestFit="1" customWidth="1"/>
    <col min="8" max="8" width="15.6640625" bestFit="1" customWidth="1"/>
    <col min="9" max="9" width="13.33203125" bestFit="1" customWidth="1"/>
    <col min="10" max="10" width="22" bestFit="1" customWidth="1"/>
    <col min="11" max="11" width="6.1640625" bestFit="1" customWidth="1"/>
  </cols>
  <sheetData>
    <row r="1" spans="1:11" x14ac:dyDescent="0.2">
      <c r="A1" s="5" t="s">
        <v>0</v>
      </c>
      <c r="B1" s="5" t="s">
        <v>199</v>
      </c>
      <c r="C1" s="5" t="s">
        <v>200</v>
      </c>
      <c r="D1" s="5" t="s">
        <v>4</v>
      </c>
      <c r="E1" s="5" t="s">
        <v>201</v>
      </c>
    </row>
    <row r="2" spans="1:11" x14ac:dyDescent="0.2">
      <c r="A2" s="1">
        <v>45306</v>
      </c>
      <c r="B2" t="s">
        <v>202</v>
      </c>
      <c r="C2" s="19">
        <v>1200</v>
      </c>
      <c r="D2" s="25">
        <f>K8</f>
        <v>0.125</v>
      </c>
      <c r="E2" s="19">
        <f t="shared" ref="E2:E13" si="0">C2*D2</f>
        <v>150</v>
      </c>
      <c r="G2" s="41" t="s">
        <v>186</v>
      </c>
      <c r="H2" s="41"/>
      <c r="I2" s="41"/>
    </row>
    <row r="3" spans="1:11" x14ac:dyDescent="0.2">
      <c r="A3" s="1">
        <v>45337</v>
      </c>
      <c r="B3" t="s">
        <v>203</v>
      </c>
      <c r="C3" s="19">
        <v>350</v>
      </c>
      <c r="D3" s="25">
        <f>K8</f>
        <v>0.125</v>
      </c>
      <c r="E3" s="19">
        <f t="shared" si="0"/>
        <v>43.75</v>
      </c>
      <c r="G3" s="5" t="s">
        <v>187</v>
      </c>
      <c r="H3" t="s">
        <v>188</v>
      </c>
      <c r="I3" t="s">
        <v>189</v>
      </c>
    </row>
    <row r="4" spans="1:11" x14ac:dyDescent="0.2">
      <c r="A4" s="1">
        <v>45366</v>
      </c>
      <c r="B4" t="s">
        <v>204</v>
      </c>
      <c r="C4" s="19">
        <v>125</v>
      </c>
      <c r="D4" s="25">
        <f>K8</f>
        <v>0.125</v>
      </c>
      <c r="E4" s="19">
        <f t="shared" si="0"/>
        <v>15.625</v>
      </c>
    </row>
    <row r="5" spans="1:11" x14ac:dyDescent="0.2">
      <c r="A5" s="1">
        <v>45397</v>
      </c>
      <c r="B5" t="s">
        <v>205</v>
      </c>
      <c r="C5" s="19">
        <v>189</v>
      </c>
      <c r="D5" s="25">
        <f>K8</f>
        <v>0.125</v>
      </c>
      <c r="E5" s="19">
        <f t="shared" si="0"/>
        <v>23.625</v>
      </c>
      <c r="G5" s="41" t="s">
        <v>190</v>
      </c>
      <c r="H5" s="41"/>
      <c r="J5" s="41" t="s">
        <v>195</v>
      </c>
      <c r="K5" s="41"/>
    </row>
    <row r="6" spans="1:11" x14ac:dyDescent="0.2">
      <c r="A6" s="1">
        <v>45427</v>
      </c>
      <c r="B6" t="s">
        <v>206</v>
      </c>
      <c r="C6" s="19">
        <v>67</v>
      </c>
      <c r="D6" s="25">
        <f>K8</f>
        <v>0.125</v>
      </c>
      <c r="E6" s="19">
        <f t="shared" si="0"/>
        <v>8.375</v>
      </c>
      <c r="G6" t="s">
        <v>191</v>
      </c>
      <c r="H6">
        <v>250</v>
      </c>
      <c r="J6" t="s">
        <v>196</v>
      </c>
      <c r="K6">
        <v>2000</v>
      </c>
    </row>
    <row r="7" spans="1:11" x14ac:dyDescent="0.2">
      <c r="A7" s="1">
        <v>45458</v>
      </c>
      <c r="B7" t="s">
        <v>207</v>
      </c>
      <c r="C7" s="19">
        <v>79</v>
      </c>
      <c r="D7" s="25">
        <f>K8</f>
        <v>0.125</v>
      </c>
      <c r="E7" s="19">
        <f t="shared" si="0"/>
        <v>9.875</v>
      </c>
      <c r="G7" t="s">
        <v>192</v>
      </c>
      <c r="H7" s="19">
        <v>5</v>
      </c>
      <c r="J7" t="s">
        <v>197</v>
      </c>
      <c r="K7">
        <v>250</v>
      </c>
    </row>
    <row r="8" spans="1:11" x14ac:dyDescent="0.2">
      <c r="A8" s="1">
        <v>45488</v>
      </c>
      <c r="B8" t="s">
        <v>208</v>
      </c>
      <c r="C8" s="19">
        <v>450</v>
      </c>
      <c r="D8" s="25">
        <f>K8</f>
        <v>0.125</v>
      </c>
      <c r="E8" s="19">
        <f t="shared" si="0"/>
        <v>56.25</v>
      </c>
      <c r="G8" t="s">
        <v>193</v>
      </c>
      <c r="H8" s="19">
        <v>1500</v>
      </c>
      <c r="J8" t="s">
        <v>198</v>
      </c>
      <c r="K8" s="25">
        <f>K7/K6</f>
        <v>0.125</v>
      </c>
    </row>
    <row r="9" spans="1:11" x14ac:dyDescent="0.2">
      <c r="A9" s="1">
        <v>45519</v>
      </c>
      <c r="B9" t="s">
        <v>209</v>
      </c>
      <c r="C9" s="19">
        <v>225</v>
      </c>
      <c r="D9" s="25">
        <f>K8</f>
        <v>0.125</v>
      </c>
      <c r="E9" s="19">
        <f t="shared" si="0"/>
        <v>28.125</v>
      </c>
      <c r="G9" t="s">
        <v>194</v>
      </c>
      <c r="H9" s="19">
        <f>MIN(H6*H7,H8)</f>
        <v>1250</v>
      </c>
    </row>
    <row r="10" spans="1:11" x14ac:dyDescent="0.2">
      <c r="A10" s="1">
        <v>45550</v>
      </c>
      <c r="B10" t="s">
        <v>205</v>
      </c>
      <c r="C10" s="19">
        <v>156</v>
      </c>
      <c r="D10" s="25">
        <f>K8</f>
        <v>0.125</v>
      </c>
      <c r="E10" s="19">
        <f t="shared" si="0"/>
        <v>19.5</v>
      </c>
    </row>
    <row r="11" spans="1:11" x14ac:dyDescent="0.2">
      <c r="A11" s="1">
        <v>45580</v>
      </c>
      <c r="B11" t="s">
        <v>210</v>
      </c>
      <c r="C11" s="19">
        <v>45</v>
      </c>
      <c r="D11" s="25">
        <f>K8</f>
        <v>0.125</v>
      </c>
      <c r="E11" s="19">
        <f t="shared" si="0"/>
        <v>5.625</v>
      </c>
      <c r="G11" s="41" t="s">
        <v>212</v>
      </c>
      <c r="H11" s="41"/>
    </row>
    <row r="12" spans="1:11" x14ac:dyDescent="0.2">
      <c r="A12" s="1">
        <v>45611</v>
      </c>
      <c r="B12" t="s">
        <v>205</v>
      </c>
      <c r="C12" s="19">
        <v>178</v>
      </c>
      <c r="D12" s="25">
        <f>K8</f>
        <v>0.125</v>
      </c>
      <c r="E12" s="19">
        <f t="shared" si="0"/>
        <v>22.25</v>
      </c>
      <c r="G12" t="s">
        <v>213</v>
      </c>
      <c r="H12" s="19">
        <f>H9</f>
        <v>1250</v>
      </c>
    </row>
    <row r="13" spans="1:11" x14ac:dyDescent="0.2">
      <c r="A13" s="1">
        <v>45641</v>
      </c>
      <c r="B13" t="s">
        <v>211</v>
      </c>
      <c r="C13" s="19">
        <v>120</v>
      </c>
      <c r="D13" s="25">
        <f>K8</f>
        <v>0.125</v>
      </c>
      <c r="E13" s="19">
        <f t="shared" si="0"/>
        <v>15</v>
      </c>
      <c r="G13" t="s">
        <v>214</v>
      </c>
      <c r="H13" s="19">
        <f>SUM(E2:E13)</f>
        <v>398</v>
      </c>
    </row>
    <row r="14" spans="1:11" x14ac:dyDescent="0.2">
      <c r="A14" s="1">
        <v>45667</v>
      </c>
      <c r="B14" t="s">
        <v>21</v>
      </c>
      <c r="C14" s="26">
        <v>45</v>
      </c>
      <c r="D14" s="38">
        <v>0.01</v>
      </c>
      <c r="E14" s="26">
        <v>0.45</v>
      </c>
      <c r="G14" t="s">
        <v>215</v>
      </c>
      <c r="H14" t="str">
        <f>IF(H12&gt;H13,"Simplified Method","Actual Expense Method")</f>
        <v>Simplified Method</v>
      </c>
    </row>
    <row r="15" spans="1:11" x14ac:dyDescent="0.2">
      <c r="A15" s="1">
        <v>45698</v>
      </c>
      <c r="B15" t="s">
        <v>21</v>
      </c>
      <c r="C15" s="26">
        <v>45</v>
      </c>
      <c r="D15" s="38">
        <v>0.01</v>
      </c>
      <c r="E15" s="26">
        <v>0.45</v>
      </c>
    </row>
    <row r="16" spans="1:11" x14ac:dyDescent="0.2">
      <c r="A16" s="1">
        <v>45726</v>
      </c>
      <c r="B16" t="s">
        <v>21</v>
      </c>
      <c r="C16" s="26">
        <v>45</v>
      </c>
      <c r="D16" s="38">
        <v>0.01</v>
      </c>
      <c r="E16" s="26">
        <v>0.45</v>
      </c>
      <c r="G16" s="5" t="s">
        <v>216</v>
      </c>
      <c r="H16">
        <f>MAX(H12,H13)</f>
        <v>1250</v>
      </c>
    </row>
    <row r="17" spans="1:5" x14ac:dyDescent="0.2">
      <c r="A17" s="1">
        <v>45757</v>
      </c>
      <c r="B17" t="s">
        <v>21</v>
      </c>
      <c r="C17" s="26">
        <v>45</v>
      </c>
      <c r="D17" s="38">
        <v>0.01</v>
      </c>
      <c r="E17" s="26">
        <v>0.45</v>
      </c>
    </row>
    <row r="18" spans="1:5" x14ac:dyDescent="0.2">
      <c r="A18" s="1">
        <v>45789</v>
      </c>
      <c r="B18" t="s">
        <v>21</v>
      </c>
      <c r="C18" s="26">
        <v>45</v>
      </c>
      <c r="D18" s="38">
        <v>0.01</v>
      </c>
      <c r="E18" s="26">
        <v>0.45</v>
      </c>
    </row>
    <row r="19" spans="1:5" x14ac:dyDescent="0.2">
      <c r="A19" s="1">
        <v>45818</v>
      </c>
      <c r="B19" t="s">
        <v>21</v>
      </c>
      <c r="C19" s="26">
        <v>45</v>
      </c>
      <c r="D19" s="38">
        <v>0.01</v>
      </c>
      <c r="E19" s="26">
        <v>0.45</v>
      </c>
    </row>
    <row r="20" spans="1:5" x14ac:dyDescent="0.2">
      <c r="A20" s="1">
        <v>45848</v>
      </c>
      <c r="B20" t="s">
        <v>21</v>
      </c>
      <c r="C20" s="26">
        <v>45</v>
      </c>
      <c r="D20" s="38">
        <v>0.01</v>
      </c>
      <c r="E20" s="26">
        <v>0.45</v>
      </c>
    </row>
    <row r="21" spans="1:5" x14ac:dyDescent="0.2">
      <c r="A21" s="1">
        <v>45880</v>
      </c>
      <c r="B21" t="s">
        <v>21</v>
      </c>
      <c r="C21" s="26">
        <v>45</v>
      </c>
      <c r="D21" s="38">
        <v>0.01</v>
      </c>
      <c r="E21" s="26">
        <v>0.45</v>
      </c>
    </row>
    <row r="22" spans="1:5" x14ac:dyDescent="0.2">
      <c r="A22" s="1">
        <v>45910</v>
      </c>
      <c r="B22" t="s">
        <v>21</v>
      </c>
      <c r="C22" s="26">
        <v>45</v>
      </c>
      <c r="D22" s="38">
        <v>0.01</v>
      </c>
      <c r="E22" s="26">
        <v>0.45</v>
      </c>
    </row>
    <row r="23" spans="1:5" x14ac:dyDescent="0.2">
      <c r="A23" s="1">
        <v>45940</v>
      </c>
      <c r="B23" t="s">
        <v>21</v>
      </c>
      <c r="C23" s="26">
        <v>45</v>
      </c>
      <c r="D23" s="38">
        <v>0.01</v>
      </c>
      <c r="E23" s="26">
        <v>0.45</v>
      </c>
    </row>
    <row r="24" spans="1:5" x14ac:dyDescent="0.2">
      <c r="A24" s="1">
        <v>45971</v>
      </c>
      <c r="B24" t="s">
        <v>21</v>
      </c>
      <c r="C24" s="26">
        <v>45</v>
      </c>
      <c r="D24" s="38">
        <v>0.01</v>
      </c>
      <c r="E24" s="26">
        <v>0.45</v>
      </c>
    </row>
    <row r="25" spans="1:5" x14ac:dyDescent="0.2">
      <c r="A25" s="1">
        <v>46001</v>
      </c>
      <c r="B25" t="s">
        <v>21</v>
      </c>
      <c r="C25" s="26">
        <v>45</v>
      </c>
      <c r="D25" s="38">
        <v>0.01</v>
      </c>
      <c r="E25" s="26">
        <v>0.45</v>
      </c>
    </row>
    <row r="26" spans="1:5" x14ac:dyDescent="0.2">
      <c r="A26" s="1"/>
      <c r="C26" s="26"/>
      <c r="D26" s="38"/>
      <c r="E26" s="26"/>
    </row>
    <row r="27" spans="1:5" x14ac:dyDescent="0.2">
      <c r="A27" s="1"/>
      <c r="C27" s="26"/>
      <c r="D27" s="38"/>
      <c r="E27" s="26"/>
    </row>
    <row r="28" spans="1:5" x14ac:dyDescent="0.2">
      <c r="A28" s="1"/>
      <c r="C28" s="26"/>
      <c r="D28" s="38"/>
      <c r="E28" s="26"/>
    </row>
    <row r="29" spans="1:5" x14ac:dyDescent="0.2">
      <c r="A29" s="1"/>
      <c r="C29" s="26"/>
      <c r="D29" s="38"/>
      <c r="E29" s="26"/>
    </row>
    <row r="30" spans="1:5" x14ac:dyDescent="0.2">
      <c r="A30" s="1"/>
      <c r="C30" s="26"/>
      <c r="D30" s="38"/>
      <c r="E30" s="26"/>
    </row>
    <row r="31" spans="1:5" x14ac:dyDescent="0.2">
      <c r="A31" s="1"/>
      <c r="C31" s="26"/>
      <c r="D31" s="38"/>
      <c r="E31" s="26"/>
    </row>
    <row r="32" spans="1:5" x14ac:dyDescent="0.2">
      <c r="A32" s="1"/>
      <c r="C32" s="26"/>
      <c r="D32" s="38"/>
      <c r="E32" s="26"/>
    </row>
    <row r="33" spans="1:5" x14ac:dyDescent="0.2">
      <c r="A33" s="1"/>
      <c r="C33" s="26"/>
      <c r="D33" s="38"/>
      <c r="E33" s="26"/>
    </row>
    <row r="34" spans="1:5" x14ac:dyDescent="0.2">
      <c r="A34" s="1"/>
      <c r="C34" s="26"/>
      <c r="D34" s="38"/>
      <c r="E34" s="26"/>
    </row>
    <row r="35" spans="1:5" x14ac:dyDescent="0.2">
      <c r="A35" s="1"/>
      <c r="C35" s="26"/>
      <c r="D35" s="38"/>
      <c r="E35" s="26"/>
    </row>
    <row r="36" spans="1:5" x14ac:dyDescent="0.2">
      <c r="A36" s="1"/>
      <c r="C36" s="26"/>
      <c r="D36" s="38"/>
      <c r="E36" s="26"/>
    </row>
    <row r="37" spans="1:5" x14ac:dyDescent="0.2">
      <c r="A37" s="1"/>
      <c r="C37" s="26"/>
      <c r="D37" s="38"/>
      <c r="E37" s="26"/>
    </row>
    <row r="38" spans="1:5" x14ac:dyDescent="0.2">
      <c r="A38" s="1"/>
      <c r="C38" s="26"/>
      <c r="D38" s="38"/>
      <c r="E38" s="26"/>
    </row>
    <row r="39" spans="1:5" x14ac:dyDescent="0.2">
      <c r="A39" s="1"/>
      <c r="C39" s="26"/>
      <c r="D39" s="38"/>
      <c r="E39" s="26"/>
    </row>
    <row r="40" spans="1:5" x14ac:dyDescent="0.2">
      <c r="A40" s="1"/>
      <c r="C40" s="26"/>
      <c r="D40" s="38"/>
      <c r="E40" s="26"/>
    </row>
    <row r="41" spans="1:5" x14ac:dyDescent="0.2">
      <c r="A41" s="1"/>
      <c r="C41" s="26"/>
      <c r="D41" s="38"/>
      <c r="E41" s="26"/>
    </row>
    <row r="42" spans="1:5" x14ac:dyDescent="0.2">
      <c r="A42" s="1"/>
      <c r="C42" s="26"/>
      <c r="D42" s="38"/>
      <c r="E42" s="26"/>
    </row>
    <row r="43" spans="1:5" x14ac:dyDescent="0.2">
      <c r="A43" s="1"/>
      <c r="C43" s="26"/>
      <c r="D43" s="38"/>
      <c r="E43" s="26"/>
    </row>
    <row r="44" spans="1:5" x14ac:dyDescent="0.2">
      <c r="A44" s="1"/>
      <c r="C44" s="26"/>
      <c r="D44" s="38"/>
      <c r="E44" s="26"/>
    </row>
    <row r="45" spans="1:5" x14ac:dyDescent="0.2">
      <c r="A45" s="1"/>
      <c r="C45" s="26"/>
      <c r="D45" s="38"/>
      <c r="E45" s="26"/>
    </row>
    <row r="46" spans="1:5" x14ac:dyDescent="0.2">
      <c r="A46" s="1"/>
      <c r="C46" s="26"/>
      <c r="D46" s="38"/>
      <c r="E46" s="26"/>
    </row>
    <row r="47" spans="1:5" x14ac:dyDescent="0.2">
      <c r="A47" s="1"/>
      <c r="C47" s="26"/>
      <c r="D47" s="38"/>
      <c r="E47" s="26"/>
    </row>
    <row r="48" spans="1:5" x14ac:dyDescent="0.2">
      <c r="A48" s="1"/>
      <c r="C48" s="26"/>
      <c r="D48" s="38"/>
      <c r="E48" s="26"/>
    </row>
    <row r="49" spans="1:5" x14ac:dyDescent="0.2">
      <c r="A49" s="1"/>
      <c r="C49" s="26"/>
      <c r="D49" s="38"/>
      <c r="E49" s="26"/>
    </row>
    <row r="50" spans="1:5" x14ac:dyDescent="0.2">
      <c r="A50" s="1"/>
      <c r="C50" s="26"/>
      <c r="D50" s="38"/>
      <c r="E50" s="26"/>
    </row>
    <row r="51" spans="1:5" x14ac:dyDescent="0.2">
      <c r="A51" s="1"/>
      <c r="C51" s="26"/>
      <c r="D51" s="38"/>
      <c r="E51" s="26"/>
    </row>
    <row r="52" spans="1:5" x14ac:dyDescent="0.2">
      <c r="A52" s="1"/>
      <c r="C52" s="26"/>
      <c r="D52" s="38"/>
      <c r="E52" s="26"/>
    </row>
    <row r="53" spans="1:5" x14ac:dyDescent="0.2">
      <c r="A53" s="1"/>
      <c r="C53" s="26"/>
      <c r="D53" s="38"/>
      <c r="E53" s="26"/>
    </row>
    <row r="54" spans="1:5" x14ac:dyDescent="0.2">
      <c r="A54" s="1"/>
      <c r="C54" s="26"/>
      <c r="D54" s="38"/>
      <c r="E54" s="26"/>
    </row>
    <row r="55" spans="1:5" x14ac:dyDescent="0.2">
      <c r="A55" s="1"/>
      <c r="C55" s="26"/>
      <c r="D55" s="38"/>
      <c r="E55" s="26"/>
    </row>
    <row r="56" spans="1:5" x14ac:dyDescent="0.2">
      <c r="A56" s="1"/>
      <c r="C56" s="26"/>
      <c r="D56" s="38"/>
      <c r="E56" s="26"/>
    </row>
    <row r="57" spans="1:5" x14ac:dyDescent="0.2">
      <c r="A57" s="1"/>
      <c r="C57" s="26"/>
      <c r="D57" s="38"/>
      <c r="E57" s="26"/>
    </row>
    <row r="58" spans="1:5" x14ac:dyDescent="0.2">
      <c r="A58" s="1"/>
      <c r="C58" s="26"/>
      <c r="D58" s="38"/>
      <c r="E58" s="26"/>
    </row>
    <row r="59" spans="1:5" x14ac:dyDescent="0.2">
      <c r="A59" s="1"/>
      <c r="C59" s="26"/>
      <c r="D59" s="38"/>
      <c r="E59" s="26"/>
    </row>
    <row r="60" spans="1:5" x14ac:dyDescent="0.2">
      <c r="A60" s="1"/>
      <c r="C60" s="26"/>
      <c r="D60" s="38"/>
      <c r="E60" s="26"/>
    </row>
    <row r="61" spans="1:5" x14ac:dyDescent="0.2">
      <c r="A61" s="1"/>
      <c r="C61" s="26"/>
      <c r="D61" s="38"/>
      <c r="E61" s="26"/>
    </row>
  </sheetData>
  <mergeCells count="4">
    <mergeCell ref="G5:H5"/>
    <mergeCell ref="J5:K5"/>
    <mergeCell ref="G2:I2"/>
    <mergeCell ref="G11:H11"/>
  </mergeCells>
  <dataValidations count="1">
    <dataValidation type="list" allowBlank="1" showInputMessage="1" showErrorMessage="1" sqref="B2" xr:uid="{DB57903C-034E-3040-A898-2F08044C1729}">
      <formula1>"Simplified,Actual Expense"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" r:id="rId3" name="Button 81">
              <controlPr defaultSize="0" print="0" autoFill="0" autoPict="0" macro="[0]!NavigateToDashboard">
                <anchor moveWithCells="1" sizeWithCells="1">
                  <from>
                    <xdr:col>9</xdr:col>
                    <xdr:colOff>355600</xdr:colOff>
                    <xdr:row>21</xdr:row>
                    <xdr:rowOff>0</xdr:rowOff>
                  </from>
                  <to>
                    <xdr:col>11</xdr:col>
                    <xdr:colOff>228600</xdr:colOff>
                    <xdr:row>22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4" name="Button 82">
              <controlPr defaultSize="0" print="0" autoFill="0" autoPict="0" macro="[0]!NavigateToInstructions">
                <anchor moveWithCells="1" sizeWithCells="1">
                  <from>
                    <xdr:col>10</xdr:col>
                    <xdr:colOff>495300</xdr:colOff>
                    <xdr:row>15</xdr:row>
                    <xdr:rowOff>25400</xdr:rowOff>
                  </from>
                  <to>
                    <xdr:col>12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ACE0B-5951-A444-8D4D-6CC89F02FF0B}">
  <sheetPr codeName="Sheet4"/>
  <dimension ref="A1:K26"/>
  <sheetViews>
    <sheetView zoomScale="104" workbookViewId="0">
      <selection activeCell="E29" sqref="E29"/>
    </sheetView>
  </sheetViews>
  <sheetFormatPr baseColWidth="10" defaultRowHeight="16" x14ac:dyDescent="0.2"/>
  <cols>
    <col min="1" max="1" width="11.33203125" bestFit="1" customWidth="1"/>
    <col min="2" max="2" width="23.6640625" bestFit="1" customWidth="1"/>
    <col min="3" max="3" width="13.6640625" bestFit="1" customWidth="1"/>
    <col min="4" max="4" width="15.33203125" bestFit="1" customWidth="1"/>
    <col min="5" max="5" width="9.6640625" bestFit="1" customWidth="1"/>
    <col min="6" max="6" width="7.1640625" bestFit="1" customWidth="1"/>
    <col min="7" max="7" width="10.1640625" bestFit="1" customWidth="1"/>
    <col min="8" max="8" width="6.6640625" customWidth="1"/>
    <col min="9" max="9" width="34.6640625" bestFit="1" customWidth="1"/>
    <col min="10" max="10" width="11.1640625" bestFit="1" customWidth="1"/>
    <col min="11" max="12" width="7.6640625" bestFit="1" customWidth="1"/>
  </cols>
  <sheetData>
    <row r="1" spans="1:11" x14ac:dyDescent="0.2">
      <c r="A1" s="5" t="s">
        <v>0</v>
      </c>
      <c r="B1" s="5" t="s">
        <v>217</v>
      </c>
      <c r="C1" s="5" t="s">
        <v>199</v>
      </c>
      <c r="D1" s="5" t="s">
        <v>218</v>
      </c>
      <c r="E1" s="5" t="s">
        <v>5</v>
      </c>
      <c r="F1" s="5" t="s">
        <v>87</v>
      </c>
      <c r="G1" s="5" t="s">
        <v>88</v>
      </c>
    </row>
    <row r="2" spans="1:11" x14ac:dyDescent="0.2">
      <c r="A2" s="1">
        <v>45299</v>
      </c>
      <c r="B2" t="s">
        <v>90</v>
      </c>
      <c r="C2" t="s">
        <v>170</v>
      </c>
      <c r="D2" t="s">
        <v>219</v>
      </c>
      <c r="E2" s="19">
        <v>0</v>
      </c>
      <c r="F2">
        <v>25</v>
      </c>
      <c r="G2" s="19">
        <f>IF(D2="Standard Mileage",F2*$J$3,IF(D2="Actual Expense",E2,0))</f>
        <v>16.75</v>
      </c>
      <c r="I2" s="41" t="s">
        <v>246</v>
      </c>
      <c r="J2" s="41"/>
    </row>
    <row r="3" spans="1:11" x14ac:dyDescent="0.2">
      <c r="A3" s="1">
        <v>45303</v>
      </c>
      <c r="B3" t="s">
        <v>220</v>
      </c>
      <c r="C3" t="s">
        <v>170</v>
      </c>
      <c r="D3" t="s">
        <v>219</v>
      </c>
      <c r="E3" s="19">
        <v>0</v>
      </c>
      <c r="F3">
        <v>12</v>
      </c>
      <c r="G3" s="19">
        <f t="shared" ref="G3:G26" si="0">IF(D3="Standard Mileage",F3*$J$3,IF(D3="Actual Expense",E3,0))</f>
        <v>8.0400000000000009</v>
      </c>
      <c r="I3" s="5" t="s">
        <v>247</v>
      </c>
      <c r="J3">
        <f>0.67</f>
        <v>0.67</v>
      </c>
    </row>
    <row r="4" spans="1:11" x14ac:dyDescent="0.2">
      <c r="A4" s="1">
        <v>45309</v>
      </c>
      <c r="B4" t="s">
        <v>221</v>
      </c>
      <c r="C4" t="s">
        <v>170</v>
      </c>
      <c r="D4" t="s">
        <v>189</v>
      </c>
      <c r="E4" s="19">
        <v>45.67</v>
      </c>
      <c r="F4">
        <v>0</v>
      </c>
      <c r="G4" s="19">
        <f t="shared" si="0"/>
        <v>45.67</v>
      </c>
      <c r="I4" s="5" t="s">
        <v>138</v>
      </c>
      <c r="J4">
        <f>SUMIF(D:D,"Standard Mileage",F:F)</f>
        <v>388</v>
      </c>
    </row>
    <row r="5" spans="1:11" x14ac:dyDescent="0.2">
      <c r="A5" s="1">
        <v>45316</v>
      </c>
      <c r="B5" t="s">
        <v>222</v>
      </c>
      <c r="C5" t="s">
        <v>223</v>
      </c>
      <c r="D5" t="s">
        <v>189</v>
      </c>
      <c r="E5" s="19">
        <v>189</v>
      </c>
      <c r="F5">
        <v>35</v>
      </c>
      <c r="G5" s="19">
        <f t="shared" si="0"/>
        <v>189</v>
      </c>
      <c r="I5" s="5" t="s">
        <v>248</v>
      </c>
      <c r="J5">
        <f>A31*A32</f>
        <v>0</v>
      </c>
    </row>
    <row r="6" spans="1:11" x14ac:dyDescent="0.2">
      <c r="A6" s="1">
        <v>45325</v>
      </c>
      <c r="B6" t="s">
        <v>97</v>
      </c>
      <c r="C6" t="s">
        <v>170</v>
      </c>
      <c r="D6" t="s">
        <v>219</v>
      </c>
      <c r="E6" s="19">
        <v>0</v>
      </c>
      <c r="F6">
        <v>18</v>
      </c>
      <c r="G6" s="19">
        <f t="shared" si="0"/>
        <v>12.06</v>
      </c>
      <c r="I6" s="5" t="s">
        <v>249</v>
      </c>
      <c r="J6" s="19">
        <f>SUMIF(D:D,"Actual Expense", E:E)</f>
        <v>1013.1100000000001</v>
      </c>
    </row>
    <row r="7" spans="1:11" x14ac:dyDescent="0.2">
      <c r="A7" s="1">
        <v>45332</v>
      </c>
      <c r="B7" t="s">
        <v>224</v>
      </c>
      <c r="C7" t="s">
        <v>225</v>
      </c>
      <c r="D7" t="s">
        <v>189</v>
      </c>
      <c r="E7" s="19">
        <v>15</v>
      </c>
      <c r="F7">
        <v>17</v>
      </c>
      <c r="G7" s="19">
        <f t="shared" si="0"/>
        <v>15</v>
      </c>
      <c r="I7" s="5" t="s">
        <v>250</v>
      </c>
      <c r="J7" s="19">
        <f>SUMIFS(E:E,C:C,"Lodging")+SUMIFS(E:E,C:C,"Airfare")+SUMIFS(E:E,C:C,"Transportation")+SUMIFS(E:E,C:C,"Parking")+SUMIFS(E:E,C:C,"Tolls")</f>
        <v>711.5</v>
      </c>
    </row>
    <row r="8" spans="1:11" x14ac:dyDescent="0.2">
      <c r="A8" s="1">
        <v>45339</v>
      </c>
      <c r="B8" t="s">
        <v>226</v>
      </c>
      <c r="C8" t="s">
        <v>170</v>
      </c>
      <c r="D8" t="s">
        <v>219</v>
      </c>
      <c r="E8" s="19">
        <v>0</v>
      </c>
      <c r="F8">
        <v>17</v>
      </c>
      <c r="G8" s="19">
        <f t="shared" si="0"/>
        <v>11.39</v>
      </c>
      <c r="I8" s="5" t="s">
        <v>251</v>
      </c>
      <c r="J8" s="19">
        <f>SUM(G:G)</f>
        <v>1273.0700000000002</v>
      </c>
    </row>
    <row r="9" spans="1:11" x14ac:dyDescent="0.2">
      <c r="A9" s="1">
        <v>45346</v>
      </c>
      <c r="B9" t="s">
        <v>227</v>
      </c>
      <c r="C9" t="s">
        <v>228</v>
      </c>
      <c r="D9" t="s">
        <v>189</v>
      </c>
      <c r="E9" s="19">
        <v>45.5</v>
      </c>
      <c r="F9">
        <v>0</v>
      </c>
      <c r="G9" s="19">
        <f t="shared" si="0"/>
        <v>45.5</v>
      </c>
    </row>
    <row r="10" spans="1:11" x14ac:dyDescent="0.2">
      <c r="A10" s="1">
        <v>45356</v>
      </c>
      <c r="B10" t="s">
        <v>229</v>
      </c>
      <c r="C10" t="s">
        <v>230</v>
      </c>
      <c r="D10" t="s">
        <v>189</v>
      </c>
      <c r="E10" s="19">
        <v>425</v>
      </c>
      <c r="F10">
        <v>0</v>
      </c>
      <c r="G10" s="19">
        <f t="shared" si="0"/>
        <v>425</v>
      </c>
      <c r="I10" s="5" t="s">
        <v>252</v>
      </c>
      <c r="J10">
        <f>J3</f>
        <v>0.67</v>
      </c>
      <c r="K10" t="s">
        <v>137</v>
      </c>
    </row>
    <row r="11" spans="1:11" x14ac:dyDescent="0.2">
      <c r="A11" s="1">
        <v>45363</v>
      </c>
      <c r="B11" t="s">
        <v>231</v>
      </c>
      <c r="C11" t="s">
        <v>170</v>
      </c>
      <c r="D11" t="s">
        <v>189</v>
      </c>
      <c r="E11" s="19">
        <v>189.95</v>
      </c>
      <c r="F11">
        <v>0</v>
      </c>
      <c r="G11" s="19">
        <f t="shared" si="0"/>
        <v>189.95</v>
      </c>
      <c r="I11" s="5" t="s">
        <v>253</v>
      </c>
      <c r="J11" s="19">
        <f>SUMIF(C:C,"Vehicle",G:G)</f>
        <v>561.57000000000005</v>
      </c>
    </row>
    <row r="12" spans="1:11" x14ac:dyDescent="0.2">
      <c r="A12" s="1">
        <v>45370</v>
      </c>
      <c r="B12" t="s">
        <v>115</v>
      </c>
      <c r="C12" t="s">
        <v>170</v>
      </c>
      <c r="D12" t="s">
        <v>219</v>
      </c>
      <c r="E12" s="19">
        <v>0</v>
      </c>
      <c r="F12">
        <v>23</v>
      </c>
      <c r="G12" s="19">
        <f t="shared" si="0"/>
        <v>15.41</v>
      </c>
      <c r="I12" s="5" t="s">
        <v>254</v>
      </c>
      <c r="J12" s="19">
        <f>SUMIF(C:C,"Lodging",G:G)</f>
        <v>189</v>
      </c>
    </row>
    <row r="13" spans="1:11" x14ac:dyDescent="0.2">
      <c r="A13" s="1">
        <v>45377</v>
      </c>
      <c r="B13" t="s">
        <v>232</v>
      </c>
      <c r="C13" t="s">
        <v>228</v>
      </c>
      <c r="D13" t="s">
        <v>189</v>
      </c>
      <c r="E13" s="19">
        <v>28.5</v>
      </c>
      <c r="F13">
        <v>27</v>
      </c>
      <c r="G13" s="19">
        <f t="shared" si="0"/>
        <v>28.5</v>
      </c>
      <c r="I13" s="5" t="s">
        <v>255</v>
      </c>
      <c r="J13" s="19">
        <f>SUMIF(C:C,"Airfare",G:G)</f>
        <v>425</v>
      </c>
    </row>
    <row r="14" spans="1:11" x14ac:dyDescent="0.2">
      <c r="A14" s="1">
        <v>45384</v>
      </c>
      <c r="B14" t="s">
        <v>233</v>
      </c>
      <c r="C14" t="s">
        <v>170</v>
      </c>
      <c r="D14" t="s">
        <v>219</v>
      </c>
      <c r="E14" s="19">
        <v>0</v>
      </c>
      <c r="F14">
        <v>17</v>
      </c>
      <c r="G14" s="19">
        <f t="shared" si="0"/>
        <v>11.39</v>
      </c>
      <c r="I14" s="5" t="s">
        <v>256</v>
      </c>
      <c r="J14" s="19">
        <f>SUMIF(C:C,"Transportation",G:G)</f>
        <v>74</v>
      </c>
    </row>
    <row r="15" spans="1:11" x14ac:dyDescent="0.2">
      <c r="A15" s="1">
        <v>45391</v>
      </c>
      <c r="B15" t="s">
        <v>234</v>
      </c>
      <c r="C15" t="s">
        <v>170</v>
      </c>
      <c r="D15" t="s">
        <v>189</v>
      </c>
      <c r="E15" s="19">
        <v>65.989999999999995</v>
      </c>
      <c r="F15">
        <v>0</v>
      </c>
      <c r="G15" s="19">
        <f t="shared" si="0"/>
        <v>65.989999999999995</v>
      </c>
      <c r="I15" s="5" t="s">
        <v>257</v>
      </c>
      <c r="J15" s="19">
        <f>SUMIF(C:C,"Parking",G:G)</f>
        <v>15</v>
      </c>
    </row>
    <row r="16" spans="1:11" x14ac:dyDescent="0.2">
      <c r="A16" s="1">
        <v>45398</v>
      </c>
      <c r="B16" t="s">
        <v>235</v>
      </c>
      <c r="C16" t="s">
        <v>170</v>
      </c>
      <c r="D16" t="s">
        <v>219</v>
      </c>
      <c r="E16" s="19">
        <v>0</v>
      </c>
      <c r="F16">
        <v>35</v>
      </c>
      <c r="G16" s="19">
        <f t="shared" si="0"/>
        <v>23.450000000000003</v>
      </c>
      <c r="I16" s="5" t="s">
        <v>258</v>
      </c>
      <c r="J16" s="19">
        <f>SUMIF(C:C,"Tolls",G:G)</f>
        <v>8.5</v>
      </c>
    </row>
    <row r="17" spans="1:7" x14ac:dyDescent="0.2">
      <c r="A17" s="1">
        <v>45405</v>
      </c>
      <c r="B17" t="s">
        <v>236</v>
      </c>
      <c r="C17" t="s">
        <v>237</v>
      </c>
      <c r="D17" t="s">
        <v>189</v>
      </c>
      <c r="E17" s="19">
        <v>8.5</v>
      </c>
      <c r="F17">
        <v>15</v>
      </c>
      <c r="G17" s="19">
        <f t="shared" si="0"/>
        <v>8.5</v>
      </c>
    </row>
    <row r="18" spans="1:7" x14ac:dyDescent="0.2">
      <c r="A18" s="1">
        <v>45412</v>
      </c>
      <c r="B18" t="s">
        <v>238</v>
      </c>
      <c r="C18" t="s">
        <v>170</v>
      </c>
      <c r="D18" t="s">
        <v>219</v>
      </c>
      <c r="E18" s="19">
        <v>0</v>
      </c>
      <c r="F18">
        <v>17</v>
      </c>
      <c r="G18" s="19">
        <f t="shared" si="0"/>
        <v>11.39</v>
      </c>
    </row>
    <row r="19" spans="1:7" x14ac:dyDescent="0.2">
      <c r="A19" s="1">
        <v>45419</v>
      </c>
      <c r="B19" t="s">
        <v>239</v>
      </c>
      <c r="C19" t="s">
        <v>170</v>
      </c>
      <c r="D19" t="s">
        <v>219</v>
      </c>
      <c r="E19" s="19">
        <v>0</v>
      </c>
      <c r="F19">
        <v>22</v>
      </c>
      <c r="G19" s="19">
        <f t="shared" si="0"/>
        <v>14.74</v>
      </c>
    </row>
    <row r="20" spans="1:7" x14ac:dyDescent="0.2">
      <c r="A20" s="1">
        <v>45426</v>
      </c>
      <c r="B20" t="s">
        <v>240</v>
      </c>
      <c r="C20" t="s">
        <v>170</v>
      </c>
      <c r="D20" t="s">
        <v>219</v>
      </c>
      <c r="E20" s="19">
        <v>0</v>
      </c>
      <c r="F20">
        <v>47</v>
      </c>
      <c r="G20" s="19">
        <f t="shared" si="0"/>
        <v>31.490000000000002</v>
      </c>
    </row>
    <row r="21" spans="1:7" x14ac:dyDescent="0.2">
      <c r="A21" s="1">
        <v>45433</v>
      </c>
      <c r="B21" t="s">
        <v>241</v>
      </c>
      <c r="C21" t="s">
        <v>170</v>
      </c>
      <c r="D21" t="s">
        <v>219</v>
      </c>
      <c r="E21" s="19">
        <v>0</v>
      </c>
      <c r="F21">
        <v>37</v>
      </c>
      <c r="G21" s="19">
        <f t="shared" si="0"/>
        <v>24.790000000000003</v>
      </c>
    </row>
    <row r="22" spans="1:7" x14ac:dyDescent="0.2">
      <c r="A22" s="1">
        <v>45440</v>
      </c>
      <c r="B22" t="s">
        <v>242</v>
      </c>
      <c r="C22" t="s">
        <v>170</v>
      </c>
      <c r="D22" t="s">
        <v>219</v>
      </c>
      <c r="E22" s="19">
        <v>0</v>
      </c>
      <c r="F22">
        <v>23</v>
      </c>
      <c r="G22" s="19">
        <f t="shared" si="0"/>
        <v>15.41</v>
      </c>
    </row>
    <row r="23" spans="1:7" x14ac:dyDescent="0.2">
      <c r="A23" s="1">
        <v>45447</v>
      </c>
      <c r="B23" t="s">
        <v>243</v>
      </c>
      <c r="C23" t="s">
        <v>170</v>
      </c>
      <c r="D23" t="s">
        <v>219</v>
      </c>
      <c r="E23" s="19">
        <v>0</v>
      </c>
      <c r="F23">
        <v>25</v>
      </c>
      <c r="G23" s="19">
        <f t="shared" si="0"/>
        <v>16.75</v>
      </c>
    </row>
    <row r="24" spans="1:7" x14ac:dyDescent="0.2">
      <c r="A24" s="1">
        <v>45454</v>
      </c>
      <c r="B24" t="s">
        <v>244</v>
      </c>
      <c r="C24" t="s">
        <v>170</v>
      </c>
      <c r="D24" t="s">
        <v>219</v>
      </c>
      <c r="E24" s="19">
        <v>0</v>
      </c>
      <c r="F24">
        <v>15</v>
      </c>
      <c r="G24" s="19">
        <f t="shared" si="0"/>
        <v>10.050000000000001</v>
      </c>
    </row>
    <row r="25" spans="1:7" x14ac:dyDescent="0.2">
      <c r="A25" s="1">
        <v>45461</v>
      </c>
      <c r="B25" t="s">
        <v>79</v>
      </c>
      <c r="C25" t="s">
        <v>170</v>
      </c>
      <c r="D25" t="s">
        <v>219</v>
      </c>
      <c r="E25" s="19">
        <v>0</v>
      </c>
      <c r="F25">
        <v>33</v>
      </c>
      <c r="G25" s="19">
        <f t="shared" si="0"/>
        <v>22.110000000000003</v>
      </c>
    </row>
    <row r="26" spans="1:7" x14ac:dyDescent="0.2">
      <c r="A26" s="1">
        <v>45468</v>
      </c>
      <c r="B26" t="s">
        <v>245</v>
      </c>
      <c r="C26" t="s">
        <v>170</v>
      </c>
      <c r="D26" t="s">
        <v>219</v>
      </c>
      <c r="E26" s="19">
        <v>0</v>
      </c>
      <c r="F26">
        <v>22</v>
      </c>
      <c r="G26" s="19">
        <f t="shared" si="0"/>
        <v>14.74</v>
      </c>
    </row>
  </sheetData>
  <mergeCells count="1">
    <mergeCell ref="I2:J2"/>
  </mergeCells>
  <dataValidations count="1">
    <dataValidation type="list" allowBlank="1" showInputMessage="1" showErrorMessage="1" sqref="D1:D1048576" xr:uid="{F837F821-57A7-9748-9ACF-7911B89972A6}">
      <formula1>"Standard Mileage,Actual Expenses"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>
                <anchor moveWithCells="1" sizeWithCells="1">
                  <from>
                    <xdr:col>14</xdr:col>
                    <xdr:colOff>88900</xdr:colOff>
                    <xdr:row>4</xdr:row>
                    <xdr:rowOff>190500</xdr:rowOff>
                  </from>
                  <to>
                    <xdr:col>15</xdr:col>
                    <xdr:colOff>533400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>
                <anchor moveWithCells="1" sizeWithCells="1">
                  <from>
                    <xdr:col>11</xdr:col>
                    <xdr:colOff>647700</xdr:colOff>
                    <xdr:row>2</xdr:row>
                    <xdr:rowOff>177800</xdr:rowOff>
                  </from>
                  <to>
                    <xdr:col>13</xdr:col>
                    <xdr:colOff>520700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Button8_Click">
                <anchor moveWithCells="1" sizeWithCells="1">
                  <from>
                    <xdr:col>12</xdr:col>
                    <xdr:colOff>50800</xdr:colOff>
                    <xdr:row>0</xdr:row>
                    <xdr:rowOff>101600</xdr:rowOff>
                  </from>
                  <to>
                    <xdr:col>13</xdr:col>
                    <xdr:colOff>749300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9_Click">
                <anchor moveWithCells="1" sizeWithCells="1">
                  <from>
                    <xdr:col>11</xdr:col>
                    <xdr:colOff>419100</xdr:colOff>
                    <xdr:row>8</xdr:row>
                    <xdr:rowOff>165100</xdr:rowOff>
                  </from>
                  <to>
                    <xdr:col>13</xdr:col>
                    <xdr:colOff>533400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14</xdr:col>
                    <xdr:colOff>63500</xdr:colOff>
                    <xdr:row>0</xdr:row>
                    <xdr:rowOff>177800</xdr:rowOff>
                  </from>
                  <to>
                    <xdr:col>15</xdr:col>
                    <xdr:colOff>774700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BE9AC-946E-814F-BE2D-28742D18AE80}">
  <sheetPr codeName="Sheet6"/>
  <dimension ref="A1:L25"/>
  <sheetViews>
    <sheetView topLeftCell="C1" workbookViewId="0">
      <selection activeCell="J37" sqref="J37"/>
    </sheetView>
  </sheetViews>
  <sheetFormatPr baseColWidth="10" defaultRowHeight="16" x14ac:dyDescent="0.2"/>
  <cols>
    <col min="1" max="1" width="8.5" bestFit="1" customWidth="1"/>
    <col min="2" max="2" width="24.6640625" bestFit="1" customWidth="1"/>
    <col min="3" max="3" width="18" bestFit="1" customWidth="1"/>
    <col min="4" max="4" width="11.6640625" bestFit="1" customWidth="1"/>
    <col min="5" max="5" width="23.33203125" bestFit="1" customWidth="1"/>
    <col min="6" max="6" width="13" bestFit="1" customWidth="1"/>
    <col min="8" max="8" width="32.33203125" bestFit="1" customWidth="1"/>
    <col min="9" max="9" width="14" bestFit="1" customWidth="1"/>
    <col min="11" max="11" width="18.5" bestFit="1" customWidth="1"/>
    <col min="12" max="12" width="9" bestFit="1" customWidth="1"/>
  </cols>
  <sheetData>
    <row r="1" spans="1:12" x14ac:dyDescent="0.2">
      <c r="A1" s="5" t="s">
        <v>0</v>
      </c>
      <c r="B1" s="5" t="s">
        <v>262</v>
      </c>
      <c r="C1" s="5" t="s">
        <v>259</v>
      </c>
      <c r="D1" s="5" t="s">
        <v>263</v>
      </c>
      <c r="E1" s="5" t="s">
        <v>264</v>
      </c>
      <c r="F1" s="5" t="s">
        <v>265</v>
      </c>
    </row>
    <row r="2" spans="1:12" x14ac:dyDescent="0.2">
      <c r="A2" s="1">
        <v>45306</v>
      </c>
      <c r="B2" t="s">
        <v>266</v>
      </c>
      <c r="C2" t="s">
        <v>267</v>
      </c>
      <c r="D2" s="19">
        <v>250</v>
      </c>
      <c r="E2" s="19">
        <v>200</v>
      </c>
      <c r="F2" s="19">
        <v>50</v>
      </c>
      <c r="H2" s="41" t="s">
        <v>299</v>
      </c>
      <c r="I2" s="41"/>
      <c r="K2" s="41" t="s">
        <v>252</v>
      </c>
      <c r="L2" s="41"/>
    </row>
    <row r="3" spans="1:12" x14ac:dyDescent="0.2">
      <c r="A3" s="1">
        <v>45313</v>
      </c>
      <c r="B3" t="s">
        <v>268</v>
      </c>
      <c r="C3" t="s">
        <v>269</v>
      </c>
      <c r="D3" s="19">
        <v>45.67</v>
      </c>
      <c r="E3" s="19">
        <v>35</v>
      </c>
      <c r="F3" s="19">
        <v>10.67</v>
      </c>
      <c r="H3" t="s">
        <v>300</v>
      </c>
      <c r="I3" s="19">
        <f>SUM(D:D)</f>
        <v>5179.8999999999996</v>
      </c>
      <c r="K3" t="s">
        <v>307</v>
      </c>
      <c r="L3" s="19">
        <f>SUMIF(C:C,"Doctor Visits",F:F)</f>
        <v>195</v>
      </c>
    </row>
    <row r="4" spans="1:12" x14ac:dyDescent="0.2">
      <c r="A4" s="1">
        <v>45330</v>
      </c>
      <c r="B4" t="s">
        <v>270</v>
      </c>
      <c r="C4" t="s">
        <v>271</v>
      </c>
      <c r="D4" s="19">
        <v>125</v>
      </c>
      <c r="E4" s="19">
        <v>100</v>
      </c>
      <c r="F4" s="19">
        <v>25</v>
      </c>
      <c r="H4" t="s">
        <v>301</v>
      </c>
      <c r="I4" s="19">
        <f>SUM(E:E)</f>
        <v>3795</v>
      </c>
      <c r="K4" t="s">
        <v>308</v>
      </c>
      <c r="L4" s="19">
        <f>SUMIF(C:C,"Prescriptions",F:F)</f>
        <v>125.39999999999999</v>
      </c>
    </row>
    <row r="5" spans="1:12" x14ac:dyDescent="0.2">
      <c r="A5" s="1">
        <v>45340</v>
      </c>
      <c r="B5" t="s">
        <v>272</v>
      </c>
      <c r="C5" t="s">
        <v>273</v>
      </c>
      <c r="D5" s="19">
        <v>150</v>
      </c>
      <c r="E5" s="19">
        <v>120</v>
      </c>
      <c r="F5" s="19">
        <v>30</v>
      </c>
      <c r="H5" t="s">
        <v>302</v>
      </c>
      <c r="I5" s="19">
        <f>SUM(F:F)</f>
        <v>1384.9000000000003</v>
      </c>
      <c r="K5" t="s">
        <v>309</v>
      </c>
      <c r="L5" s="19">
        <f>SUMIF(C:C,"Dental",F:F)</f>
        <v>450</v>
      </c>
    </row>
    <row r="6" spans="1:12" x14ac:dyDescent="0.2">
      <c r="A6" s="1">
        <v>45356</v>
      </c>
      <c r="B6" t="s">
        <v>274</v>
      </c>
      <c r="C6" t="s">
        <v>275</v>
      </c>
      <c r="D6" s="19">
        <v>85</v>
      </c>
      <c r="E6" s="19">
        <v>60</v>
      </c>
      <c r="F6" s="19">
        <v>25</v>
      </c>
      <c r="K6" t="s">
        <v>310</v>
      </c>
      <c r="L6" s="19">
        <f>SUMIF(C:C,"Vision",F:F)</f>
        <v>110</v>
      </c>
    </row>
    <row r="7" spans="1:12" x14ac:dyDescent="0.2">
      <c r="A7" s="1">
        <v>45369</v>
      </c>
      <c r="B7" t="s">
        <v>276</v>
      </c>
      <c r="C7" t="s">
        <v>277</v>
      </c>
      <c r="D7" s="19">
        <v>1250</v>
      </c>
      <c r="E7" s="19">
        <v>1000</v>
      </c>
      <c r="F7" s="19">
        <v>250</v>
      </c>
      <c r="H7" s="41" t="s">
        <v>303</v>
      </c>
      <c r="I7" s="41"/>
      <c r="K7" t="s">
        <v>311</v>
      </c>
      <c r="L7" s="19">
        <f>SUMIF(C:C,"Medical Services",F:F)</f>
        <v>50</v>
      </c>
    </row>
    <row r="8" spans="1:12" x14ac:dyDescent="0.2">
      <c r="A8" s="1">
        <v>45384</v>
      </c>
      <c r="B8" t="s">
        <v>278</v>
      </c>
      <c r="C8" t="s">
        <v>269</v>
      </c>
      <c r="D8" s="19">
        <v>28.99</v>
      </c>
      <c r="E8" s="19">
        <v>20</v>
      </c>
      <c r="F8" s="19">
        <v>8.99</v>
      </c>
      <c r="H8" t="s">
        <v>304</v>
      </c>
      <c r="I8" s="19">
        <v>75000</v>
      </c>
      <c r="K8" t="s">
        <v>312</v>
      </c>
      <c r="L8" s="19">
        <f>SUMIF(C:C,"Medical Equipment",F:F)</f>
        <v>250</v>
      </c>
    </row>
    <row r="9" spans="1:12" x14ac:dyDescent="0.2">
      <c r="A9" s="1">
        <v>45397</v>
      </c>
      <c r="B9" t="s">
        <v>279</v>
      </c>
      <c r="C9" t="s">
        <v>280</v>
      </c>
      <c r="D9" s="19">
        <v>75</v>
      </c>
      <c r="E9" s="19">
        <v>0</v>
      </c>
      <c r="F9" s="19">
        <v>75</v>
      </c>
      <c r="H9" t="s">
        <v>305</v>
      </c>
      <c r="I9" s="19">
        <f>I8*0.075</f>
        <v>5625</v>
      </c>
      <c r="K9" t="s">
        <v>313</v>
      </c>
      <c r="L9" s="19">
        <f>SUMIF(C:C,"Mental Health",F:F)</f>
        <v>40</v>
      </c>
    </row>
    <row r="10" spans="1:12" x14ac:dyDescent="0.2">
      <c r="A10" s="1">
        <v>45422</v>
      </c>
      <c r="B10" t="s">
        <v>281</v>
      </c>
      <c r="C10" t="s">
        <v>282</v>
      </c>
      <c r="D10" s="19">
        <v>189.5</v>
      </c>
      <c r="E10" s="19">
        <v>150</v>
      </c>
      <c r="F10" s="19">
        <v>39.5</v>
      </c>
      <c r="H10" t="s">
        <v>306</v>
      </c>
      <c r="I10" s="19">
        <f>MAX(0,I5-I8)</f>
        <v>0</v>
      </c>
      <c r="K10" t="s">
        <v>314</v>
      </c>
      <c r="L10" s="19">
        <f>SUMIF(C:C,"Alternative Medicine",F:F)</f>
        <v>75</v>
      </c>
    </row>
    <row r="11" spans="1:12" x14ac:dyDescent="0.2">
      <c r="A11" s="1">
        <v>45437</v>
      </c>
      <c r="B11" t="s">
        <v>283</v>
      </c>
      <c r="C11" t="s">
        <v>269</v>
      </c>
      <c r="D11" s="19">
        <v>32.450000000000003</v>
      </c>
      <c r="E11" s="19">
        <v>25</v>
      </c>
      <c r="F11" s="19">
        <v>7.45</v>
      </c>
      <c r="K11" t="s">
        <v>315</v>
      </c>
      <c r="L11" s="19">
        <f>SUMIF(C:C,"Lab Tests",F:F)</f>
        <v>39.5</v>
      </c>
    </row>
    <row r="12" spans="1:12" x14ac:dyDescent="0.2">
      <c r="A12" s="1">
        <v>45451</v>
      </c>
      <c r="B12" t="s">
        <v>284</v>
      </c>
      <c r="C12" t="s">
        <v>267</v>
      </c>
      <c r="D12" s="19">
        <v>325</v>
      </c>
      <c r="E12" s="19">
        <v>260</v>
      </c>
      <c r="F12" s="19">
        <v>65</v>
      </c>
      <c r="H12" s="41" t="s">
        <v>317</v>
      </c>
      <c r="I12" s="41"/>
      <c r="K12" t="s">
        <v>316</v>
      </c>
      <c r="L12" s="19">
        <f>SUMIF(C:C,"Preventive Care",F:F)</f>
        <v>50</v>
      </c>
    </row>
    <row r="13" spans="1:12" x14ac:dyDescent="0.2">
      <c r="A13" s="1">
        <v>45463</v>
      </c>
      <c r="B13" t="s">
        <v>285</v>
      </c>
      <c r="C13" t="s">
        <v>273</v>
      </c>
      <c r="D13" s="19">
        <v>180</v>
      </c>
      <c r="E13" s="19">
        <v>100</v>
      </c>
      <c r="F13" s="19">
        <v>80</v>
      </c>
      <c r="H13" t="s">
        <v>318</v>
      </c>
    </row>
    <row r="14" spans="1:12" x14ac:dyDescent="0.2">
      <c r="A14" s="1">
        <v>45485</v>
      </c>
      <c r="B14" t="s">
        <v>286</v>
      </c>
      <c r="C14" t="s">
        <v>267</v>
      </c>
      <c r="D14" s="19">
        <v>165</v>
      </c>
      <c r="E14" s="19">
        <v>130</v>
      </c>
      <c r="F14" s="19">
        <v>35</v>
      </c>
      <c r="H14" t="s">
        <v>319</v>
      </c>
      <c r="I14" s="19">
        <v>450</v>
      </c>
      <c r="K14" s="41" t="s">
        <v>261</v>
      </c>
      <c r="L14" s="41"/>
    </row>
    <row r="15" spans="1:12" x14ac:dyDescent="0.2">
      <c r="A15" s="1">
        <v>45501</v>
      </c>
      <c r="B15" t="s">
        <v>287</v>
      </c>
      <c r="C15" t="s">
        <v>269</v>
      </c>
      <c r="D15" s="19">
        <v>67.88</v>
      </c>
      <c r="E15" s="19">
        <v>50</v>
      </c>
      <c r="F15" s="19">
        <v>17.88</v>
      </c>
      <c r="H15" t="s">
        <v>320</v>
      </c>
      <c r="I15" s="19">
        <f>I14*12</f>
        <v>5400</v>
      </c>
      <c r="K15" t="s">
        <v>322</v>
      </c>
      <c r="L15" s="19">
        <f>SUMIFS(F:F,A:A,"&gt;="&amp;DATE(2024,1,1),A:A,"&lt;"&amp;DATE(2024,4,1))</f>
        <v>390.67</v>
      </c>
    </row>
    <row r="16" spans="1:12" x14ac:dyDescent="0.2">
      <c r="A16" s="1">
        <v>45519</v>
      </c>
      <c r="B16" t="s">
        <v>288</v>
      </c>
      <c r="C16" t="s">
        <v>271</v>
      </c>
      <c r="D16" s="19">
        <v>1200</v>
      </c>
      <c r="E16" s="19">
        <v>800</v>
      </c>
      <c r="F16" s="19">
        <v>400</v>
      </c>
      <c r="H16" t="s">
        <v>321</v>
      </c>
      <c r="I16" t="s">
        <v>888</v>
      </c>
      <c r="K16" t="s">
        <v>323</v>
      </c>
      <c r="L16" s="19">
        <f>SUMIFS(F:F,A:A,"&gt;="&amp;DATE(2024,4,1),A:A,"&lt;"&amp;DATE(2024,7,1))</f>
        <v>275.94</v>
      </c>
    </row>
    <row r="17" spans="1:12" x14ac:dyDescent="0.2">
      <c r="A17" s="1">
        <v>45534</v>
      </c>
      <c r="B17" t="s">
        <v>289</v>
      </c>
      <c r="C17" t="s">
        <v>290</v>
      </c>
      <c r="D17" s="19">
        <v>120</v>
      </c>
      <c r="E17" s="19">
        <v>80</v>
      </c>
      <c r="F17" s="19">
        <v>40</v>
      </c>
      <c r="K17" t="s">
        <v>324</v>
      </c>
      <c r="L17" s="19">
        <f>SUMIFS(F:F,A:A,"&gt;="&amp;DATE(2024,7,1),A:A,"&lt;"&amp;DATE(2024,10,1))</f>
        <v>538.87</v>
      </c>
    </row>
    <row r="18" spans="1:12" x14ac:dyDescent="0.2">
      <c r="A18" s="1">
        <v>45545</v>
      </c>
      <c r="B18" t="s">
        <v>291</v>
      </c>
      <c r="C18" t="s">
        <v>292</v>
      </c>
      <c r="D18" s="19">
        <v>35</v>
      </c>
      <c r="E18" s="19">
        <v>35</v>
      </c>
      <c r="F18" s="19">
        <v>0</v>
      </c>
      <c r="K18" t="s">
        <v>325</v>
      </c>
      <c r="L18" s="19">
        <f>SUMIFS(F:F,A:A,"&gt;="&amp;DATE(2024,10,1),A:A,"&lt;"&amp;DATE(2025,1,1))</f>
        <v>179.42000000000002</v>
      </c>
    </row>
    <row r="19" spans="1:12" x14ac:dyDescent="0.2">
      <c r="A19" s="1">
        <v>45560</v>
      </c>
      <c r="B19" t="s">
        <v>293</v>
      </c>
      <c r="C19" t="s">
        <v>269</v>
      </c>
      <c r="D19" s="19">
        <v>45.99</v>
      </c>
      <c r="E19" s="19">
        <v>0</v>
      </c>
      <c r="F19" s="19">
        <v>45.99</v>
      </c>
    </row>
    <row r="20" spans="1:12" x14ac:dyDescent="0.2">
      <c r="A20" s="1">
        <v>45573</v>
      </c>
      <c r="B20" t="s">
        <v>294</v>
      </c>
      <c r="C20" t="s">
        <v>292</v>
      </c>
      <c r="D20" s="19">
        <v>250</v>
      </c>
      <c r="E20" s="19">
        <v>200</v>
      </c>
      <c r="F20" s="19">
        <v>50</v>
      </c>
    </row>
    <row r="21" spans="1:12" x14ac:dyDescent="0.2">
      <c r="A21" s="1">
        <v>45587</v>
      </c>
      <c r="B21" t="s">
        <v>274</v>
      </c>
      <c r="C21" t="s">
        <v>275</v>
      </c>
      <c r="D21" s="19">
        <v>85</v>
      </c>
      <c r="E21" s="19">
        <v>60</v>
      </c>
      <c r="F21" s="19">
        <v>25</v>
      </c>
    </row>
    <row r="22" spans="1:12" x14ac:dyDescent="0.2">
      <c r="A22" s="1">
        <v>45601</v>
      </c>
      <c r="B22" t="s">
        <v>295</v>
      </c>
      <c r="C22" t="s">
        <v>269</v>
      </c>
      <c r="D22" s="19">
        <v>38.75</v>
      </c>
      <c r="E22" s="19">
        <v>30</v>
      </c>
      <c r="F22" s="19">
        <v>8.75</v>
      </c>
    </row>
    <row r="23" spans="1:12" x14ac:dyDescent="0.2">
      <c r="A23" s="1">
        <v>45614</v>
      </c>
      <c r="B23" t="s">
        <v>296</v>
      </c>
      <c r="C23" t="s">
        <v>267</v>
      </c>
      <c r="D23" s="19">
        <v>185</v>
      </c>
      <c r="E23" s="19">
        <v>140</v>
      </c>
      <c r="F23" s="19">
        <v>45</v>
      </c>
    </row>
    <row r="24" spans="1:12" x14ac:dyDescent="0.2">
      <c r="A24" s="1">
        <v>45629</v>
      </c>
      <c r="B24" t="s">
        <v>297</v>
      </c>
      <c r="C24" t="s">
        <v>269</v>
      </c>
      <c r="D24" s="19">
        <v>125.67</v>
      </c>
      <c r="E24" s="19">
        <v>100</v>
      </c>
      <c r="F24" s="19">
        <v>25.67</v>
      </c>
    </row>
    <row r="25" spans="1:12" x14ac:dyDescent="0.2">
      <c r="A25" s="1">
        <v>45641</v>
      </c>
      <c r="B25" t="s">
        <v>298</v>
      </c>
      <c r="C25" t="s">
        <v>271</v>
      </c>
      <c r="D25" s="19">
        <v>125</v>
      </c>
      <c r="E25" s="19">
        <v>100</v>
      </c>
      <c r="F25" s="19">
        <v>25</v>
      </c>
    </row>
  </sheetData>
  <mergeCells count="5">
    <mergeCell ref="K14:L14"/>
    <mergeCell ref="K2:L2"/>
    <mergeCell ref="H2:I2"/>
    <mergeCell ref="H7:I7"/>
    <mergeCell ref="H12:I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906B-B314-874A-BB3F-9F4E8AED57EA}">
  <sheetPr codeName="Sheet7"/>
  <dimension ref="A1:M27"/>
  <sheetViews>
    <sheetView workbookViewId="0">
      <selection activeCell="E27" sqref="E27"/>
    </sheetView>
  </sheetViews>
  <sheetFormatPr baseColWidth="10" defaultRowHeight="16" x14ac:dyDescent="0.2"/>
  <cols>
    <col min="1" max="1" width="8.5" bestFit="1" customWidth="1"/>
    <col min="2" max="2" width="19.1640625" bestFit="1" customWidth="1"/>
    <col min="3" max="3" width="17.33203125" bestFit="1" customWidth="1"/>
    <col min="4" max="4" width="10.6640625" bestFit="1" customWidth="1"/>
    <col min="5" max="5" width="13" bestFit="1" customWidth="1"/>
    <col min="6" max="6" width="8.5" bestFit="1" customWidth="1"/>
    <col min="7" max="7" width="34" bestFit="1" customWidth="1"/>
    <col min="8" max="8" width="8.1640625" customWidth="1"/>
    <col min="9" max="9" width="30.6640625" bestFit="1" customWidth="1"/>
    <col min="10" max="10" width="16.5" bestFit="1" customWidth="1"/>
    <col min="11" max="11" width="7" customWidth="1"/>
    <col min="12" max="12" width="35" bestFit="1" customWidth="1"/>
    <col min="13" max="13" width="21" bestFit="1" customWidth="1"/>
  </cols>
  <sheetData>
    <row r="1" spans="1:13" x14ac:dyDescent="0.2">
      <c r="A1" s="5" t="s">
        <v>0</v>
      </c>
      <c r="B1" s="5" t="s">
        <v>326</v>
      </c>
      <c r="C1" s="5" t="s">
        <v>259</v>
      </c>
      <c r="D1" s="5" t="s">
        <v>218</v>
      </c>
      <c r="E1" s="5" t="s">
        <v>327</v>
      </c>
      <c r="F1" s="5" t="s">
        <v>6</v>
      </c>
      <c r="G1" s="5" t="s">
        <v>2</v>
      </c>
    </row>
    <row r="2" spans="1:13" x14ac:dyDescent="0.2">
      <c r="A2" s="1">
        <v>45306</v>
      </c>
      <c r="B2" t="s">
        <v>328</v>
      </c>
      <c r="C2" t="s">
        <v>329</v>
      </c>
      <c r="D2" t="s">
        <v>330</v>
      </c>
      <c r="E2" s="19">
        <v>500</v>
      </c>
      <c r="F2" t="s">
        <v>10</v>
      </c>
      <c r="G2" t="s">
        <v>331</v>
      </c>
      <c r="I2" s="5" t="s">
        <v>392</v>
      </c>
      <c r="L2" s="5" t="s">
        <v>378</v>
      </c>
    </row>
    <row r="3" spans="1:13" x14ac:dyDescent="0.2">
      <c r="A3" s="1">
        <v>45316</v>
      </c>
      <c r="B3" t="s">
        <v>332</v>
      </c>
      <c r="C3" t="s">
        <v>333</v>
      </c>
      <c r="D3" t="s">
        <v>334</v>
      </c>
      <c r="E3" s="19">
        <v>150</v>
      </c>
      <c r="F3" t="s">
        <v>10</v>
      </c>
      <c r="G3" t="s">
        <v>335</v>
      </c>
      <c r="I3" t="s">
        <v>393</v>
      </c>
      <c r="J3" s="19">
        <f>SUMIF(D:D,"Cash",E:E)</f>
        <v>350</v>
      </c>
      <c r="L3" t="s">
        <v>379</v>
      </c>
      <c r="M3" s="19">
        <f>SUMIF(C:C,"Cash Donation",E:E)</f>
        <v>5475</v>
      </c>
    </row>
    <row r="4" spans="1:13" x14ac:dyDescent="0.2">
      <c r="A4" s="1">
        <v>45332</v>
      </c>
      <c r="B4" t="s">
        <v>336</v>
      </c>
      <c r="C4" t="s">
        <v>329</v>
      </c>
      <c r="D4" t="s">
        <v>337</v>
      </c>
      <c r="E4" s="19">
        <v>200</v>
      </c>
      <c r="F4" t="s">
        <v>10</v>
      </c>
      <c r="G4" t="s">
        <v>338</v>
      </c>
      <c r="I4" t="s">
        <v>394</v>
      </c>
      <c r="J4" s="19">
        <f>SUMIF(D:D,"Check",E:E)</f>
        <v>4075</v>
      </c>
      <c r="L4" t="s">
        <v>380</v>
      </c>
      <c r="M4" s="19">
        <f>SUMIF(C:C,"Non-Cash Donation",E:E)</f>
        <v>550</v>
      </c>
    </row>
    <row r="5" spans="1:13" x14ac:dyDescent="0.2">
      <c r="A5" s="1">
        <v>45336</v>
      </c>
      <c r="B5" t="s">
        <v>339</v>
      </c>
      <c r="C5" t="s">
        <v>329</v>
      </c>
      <c r="D5" t="s">
        <v>340</v>
      </c>
      <c r="E5" s="19">
        <v>100</v>
      </c>
      <c r="F5" t="s">
        <v>10</v>
      </c>
      <c r="G5" t="s">
        <v>341</v>
      </c>
      <c r="I5" t="s">
        <v>395</v>
      </c>
      <c r="J5" s="19">
        <f>SUMIF(D:D,"Credit Card",E:E)</f>
        <v>1050</v>
      </c>
      <c r="L5" t="s">
        <v>381</v>
      </c>
      <c r="M5">
        <f>SUMIF(C:C,"Volunteer Mileage",E:E)</f>
        <v>66.5</v>
      </c>
    </row>
    <row r="6" spans="1:13" x14ac:dyDescent="0.2">
      <c r="A6" s="1">
        <v>45359</v>
      </c>
      <c r="B6" t="s">
        <v>342</v>
      </c>
      <c r="C6" t="s">
        <v>343</v>
      </c>
      <c r="D6" t="s">
        <v>344</v>
      </c>
      <c r="E6" s="19">
        <v>45.5</v>
      </c>
      <c r="F6" t="s">
        <v>10</v>
      </c>
      <c r="G6" t="s">
        <v>345</v>
      </c>
      <c r="I6" t="s">
        <v>396</v>
      </c>
      <c r="J6" s="19">
        <f>SUMIF(D:D,"Property",E:E)</f>
        <v>550</v>
      </c>
      <c r="L6" t="s">
        <v>382</v>
      </c>
      <c r="M6" s="19">
        <f>SUM(E:E)</f>
        <v>6091.5</v>
      </c>
    </row>
    <row r="7" spans="1:13" x14ac:dyDescent="0.2">
      <c r="A7" s="1">
        <v>45366</v>
      </c>
      <c r="B7" t="s">
        <v>336</v>
      </c>
      <c r="C7" t="s">
        <v>329</v>
      </c>
      <c r="D7" t="s">
        <v>330</v>
      </c>
      <c r="E7" s="19">
        <v>200</v>
      </c>
      <c r="F7" t="s">
        <v>10</v>
      </c>
      <c r="G7" t="s">
        <v>346</v>
      </c>
      <c r="I7" t="s">
        <v>397</v>
      </c>
      <c r="J7" s="19">
        <f>SUMIF(D:D,"Mileage",E:E)</f>
        <v>66.5</v>
      </c>
    </row>
    <row r="8" spans="1:13" x14ac:dyDescent="0.2">
      <c r="A8" s="1">
        <v>45373</v>
      </c>
      <c r="B8" t="s">
        <v>347</v>
      </c>
      <c r="C8" t="s">
        <v>329</v>
      </c>
      <c r="D8" t="s">
        <v>330</v>
      </c>
      <c r="E8" s="19">
        <v>1000</v>
      </c>
      <c r="F8" t="s">
        <v>10</v>
      </c>
      <c r="G8" t="s">
        <v>348</v>
      </c>
      <c r="L8" s="5" t="s">
        <v>383</v>
      </c>
    </row>
    <row r="9" spans="1:13" x14ac:dyDescent="0.2">
      <c r="A9" s="1">
        <v>45394</v>
      </c>
      <c r="B9" t="s">
        <v>349</v>
      </c>
      <c r="C9" t="s">
        <v>333</v>
      </c>
      <c r="D9" t="s">
        <v>334</v>
      </c>
      <c r="E9" s="19">
        <v>75</v>
      </c>
      <c r="F9" t="s">
        <v>10</v>
      </c>
      <c r="G9" t="s">
        <v>350</v>
      </c>
      <c r="I9" s="5" t="s">
        <v>261</v>
      </c>
      <c r="L9" t="s">
        <v>304</v>
      </c>
      <c r="M9" s="19">
        <v>75000</v>
      </c>
    </row>
    <row r="10" spans="1:13" x14ac:dyDescent="0.2">
      <c r="A10" s="1">
        <v>45400</v>
      </c>
      <c r="B10" t="s">
        <v>336</v>
      </c>
      <c r="C10" t="s">
        <v>329</v>
      </c>
      <c r="D10" t="s">
        <v>330</v>
      </c>
      <c r="E10" s="19">
        <v>200</v>
      </c>
      <c r="F10" t="s">
        <v>10</v>
      </c>
      <c r="G10" t="s">
        <v>351</v>
      </c>
      <c r="I10" t="s">
        <v>398</v>
      </c>
      <c r="J10" s="19">
        <f>SUMIFS(E:E,A:A,"&gt;="&amp;DATE(2024,1,1),A:A,"&lt;"&amp;DATE(2024,4,1))</f>
        <v>2195.5</v>
      </c>
      <c r="L10" t="s">
        <v>384</v>
      </c>
      <c r="M10" s="19">
        <f>M3*0.6</f>
        <v>3285</v>
      </c>
    </row>
    <row r="11" spans="1:13" x14ac:dyDescent="0.2">
      <c r="A11" s="1">
        <v>45417</v>
      </c>
      <c r="B11" t="s">
        <v>352</v>
      </c>
      <c r="C11" t="s">
        <v>329</v>
      </c>
      <c r="D11" t="s">
        <v>340</v>
      </c>
      <c r="E11" s="19">
        <v>250</v>
      </c>
      <c r="F11" t="s">
        <v>10</v>
      </c>
      <c r="G11" t="s">
        <v>353</v>
      </c>
      <c r="I11" t="s">
        <v>399</v>
      </c>
      <c r="J11" s="19">
        <f>SUMIFS(E:E,A:A,"&gt;="&amp;DATE(2024,4,1),A:A,"&lt;"&amp;DATE(2024,7,1))</f>
        <v>1375</v>
      </c>
      <c r="L11" t="s">
        <v>385</v>
      </c>
      <c r="M11" s="19">
        <f>J6*0.3</f>
        <v>165</v>
      </c>
    </row>
    <row r="12" spans="1:13" x14ac:dyDescent="0.2">
      <c r="A12" s="1">
        <v>45432</v>
      </c>
      <c r="B12" t="s">
        <v>336</v>
      </c>
      <c r="C12" t="s">
        <v>329</v>
      </c>
      <c r="D12" t="s">
        <v>330</v>
      </c>
      <c r="E12" s="19">
        <v>200</v>
      </c>
      <c r="F12" t="s">
        <v>10</v>
      </c>
      <c r="G12" t="s">
        <v>354</v>
      </c>
      <c r="I12" t="s">
        <v>400</v>
      </c>
      <c r="J12" s="19">
        <f>SUMIFS(E:E,A:A,"&gt;="&amp;DATE(2024,7,1),A:A,"&lt;"&amp;DATE(2024,10,1))</f>
        <v>1300</v>
      </c>
    </row>
    <row r="13" spans="1:13" x14ac:dyDescent="0.2">
      <c r="A13" s="1">
        <v>45437</v>
      </c>
      <c r="B13" t="s">
        <v>355</v>
      </c>
      <c r="C13" t="s">
        <v>329</v>
      </c>
      <c r="D13" t="s">
        <v>330</v>
      </c>
      <c r="E13" s="19">
        <v>300</v>
      </c>
      <c r="F13" t="s">
        <v>10</v>
      </c>
      <c r="G13" t="s">
        <v>356</v>
      </c>
      <c r="I13" t="s">
        <v>401</v>
      </c>
      <c r="J13" s="19">
        <f>SUMIFS(E:E,A:A,"&gt;="&amp;DATE(2024,10,1),A:A,"&lt;"&amp;DATE(2025,1,1))</f>
        <v>1221</v>
      </c>
      <c r="L13" s="5" t="s">
        <v>386</v>
      </c>
    </row>
    <row r="14" spans="1:13" x14ac:dyDescent="0.2">
      <c r="A14" s="1">
        <v>45451</v>
      </c>
      <c r="B14" t="s">
        <v>357</v>
      </c>
      <c r="C14" t="s">
        <v>329</v>
      </c>
      <c r="D14" t="s">
        <v>337</v>
      </c>
      <c r="E14" s="19">
        <v>150</v>
      </c>
      <c r="F14" t="s">
        <v>10</v>
      </c>
      <c r="G14" t="s">
        <v>358</v>
      </c>
      <c r="L14" t="s">
        <v>387</v>
      </c>
      <c r="M14" s="19">
        <f>M3</f>
        <v>5475</v>
      </c>
    </row>
    <row r="15" spans="1:13" x14ac:dyDescent="0.2">
      <c r="A15" s="1">
        <v>45458</v>
      </c>
      <c r="B15" t="s">
        <v>336</v>
      </c>
      <c r="C15" t="s">
        <v>329</v>
      </c>
      <c r="D15" t="s">
        <v>330</v>
      </c>
      <c r="E15" s="19">
        <v>200</v>
      </c>
      <c r="F15" t="s">
        <v>10</v>
      </c>
      <c r="G15" t="s">
        <v>359</v>
      </c>
      <c r="I15" s="5" t="s">
        <v>402</v>
      </c>
      <c r="L15" t="s">
        <v>388</v>
      </c>
      <c r="M15" s="8" t="str">
        <f>IF(M9&lt;=M6,"Yes - Fully Deductible","Exceeds limit by "&amp;TEXT(M9-M6,"$#,##0"))</f>
        <v>Exceeds limit by $68,909</v>
      </c>
    </row>
    <row r="16" spans="1:13" x14ac:dyDescent="0.2">
      <c r="A16" s="1">
        <v>45477</v>
      </c>
      <c r="B16" t="s">
        <v>360</v>
      </c>
      <c r="C16" t="s">
        <v>329</v>
      </c>
      <c r="D16" t="s">
        <v>330</v>
      </c>
      <c r="E16" s="19">
        <v>175</v>
      </c>
      <c r="F16" t="s">
        <v>10</v>
      </c>
      <c r="G16" t="s">
        <v>361</v>
      </c>
      <c r="I16" t="s">
        <v>403</v>
      </c>
      <c r="J16">
        <f>COUNTA(A:A)-1</f>
        <v>26</v>
      </c>
      <c r="L16" t="s">
        <v>389</v>
      </c>
      <c r="M16" s="19">
        <f>J6</f>
        <v>550</v>
      </c>
    </row>
    <row r="17" spans="1:13" x14ac:dyDescent="0.2">
      <c r="A17" s="1">
        <v>45493</v>
      </c>
      <c r="B17" t="s">
        <v>336</v>
      </c>
      <c r="C17" t="s">
        <v>329</v>
      </c>
      <c r="D17" t="s">
        <v>330</v>
      </c>
      <c r="E17" s="19">
        <v>200</v>
      </c>
      <c r="F17" t="s">
        <v>10</v>
      </c>
      <c r="G17" t="s">
        <v>362</v>
      </c>
      <c r="I17" t="s">
        <v>404</v>
      </c>
      <c r="J17">
        <f>COUNTIF(F:F,"Yes")</f>
        <v>25</v>
      </c>
      <c r="L17" t="s">
        <v>390</v>
      </c>
      <c r="M17" s="8" t="str">
        <f>IF(M11&lt;=M7,"Yes - Fully Deductible","Exceeds limit by "&amp;TEXT(M11-M7,"$#,##0"))</f>
        <v>Exceeds limit by $165</v>
      </c>
    </row>
    <row r="18" spans="1:13" x14ac:dyDescent="0.2">
      <c r="A18" s="1">
        <v>45514</v>
      </c>
      <c r="B18" t="s">
        <v>363</v>
      </c>
      <c r="C18" t="s">
        <v>333</v>
      </c>
      <c r="D18" t="s">
        <v>334</v>
      </c>
      <c r="E18" s="19">
        <v>125</v>
      </c>
      <c r="F18" t="s">
        <v>10</v>
      </c>
      <c r="G18" t="s">
        <v>364</v>
      </c>
      <c r="I18" t="s">
        <v>405</v>
      </c>
      <c r="J18">
        <f>J16-J17</f>
        <v>1</v>
      </c>
    </row>
    <row r="19" spans="1:13" x14ac:dyDescent="0.2">
      <c r="A19" s="1">
        <v>45529</v>
      </c>
      <c r="B19" t="s">
        <v>336</v>
      </c>
      <c r="C19" t="s">
        <v>329</v>
      </c>
      <c r="D19" t="s">
        <v>330</v>
      </c>
      <c r="E19" s="19">
        <v>200</v>
      </c>
      <c r="F19" t="s">
        <v>10</v>
      </c>
      <c r="G19" t="s">
        <v>365</v>
      </c>
      <c r="I19" t="s">
        <v>406</v>
      </c>
      <c r="J19" s="8" t="str">
        <f>IF(J18=0,"✓ All receipts accounted for","⚠ "&amp;J18&amp;"missing receipts")</f>
        <v>⚠ 1missing receipts</v>
      </c>
      <c r="L19" s="5" t="s">
        <v>391</v>
      </c>
      <c r="M19" s="19">
        <f>MIN(M9,M6)+MIN(M11,M7)+M3</f>
        <v>11731.5</v>
      </c>
    </row>
    <row r="20" spans="1:13" x14ac:dyDescent="0.2">
      <c r="A20" s="1">
        <v>45547</v>
      </c>
      <c r="B20" t="s">
        <v>366</v>
      </c>
      <c r="C20" t="s">
        <v>329</v>
      </c>
      <c r="D20" t="s">
        <v>340</v>
      </c>
      <c r="E20" s="19">
        <v>400</v>
      </c>
      <c r="F20" t="s">
        <v>10</v>
      </c>
      <c r="G20" t="s">
        <v>367</v>
      </c>
    </row>
    <row r="21" spans="1:13" x14ac:dyDescent="0.2">
      <c r="A21" s="1">
        <v>45557</v>
      </c>
      <c r="B21" t="s">
        <v>336</v>
      </c>
      <c r="C21" t="s">
        <v>329</v>
      </c>
      <c r="D21" t="s">
        <v>330</v>
      </c>
      <c r="E21" s="19">
        <v>200</v>
      </c>
      <c r="F21" t="s">
        <v>10</v>
      </c>
      <c r="G21" t="s">
        <v>368</v>
      </c>
    </row>
    <row r="22" spans="1:13" x14ac:dyDescent="0.2">
      <c r="A22" s="1">
        <v>45580</v>
      </c>
      <c r="B22" t="s">
        <v>369</v>
      </c>
      <c r="C22" t="s">
        <v>329</v>
      </c>
      <c r="D22" t="s">
        <v>340</v>
      </c>
      <c r="E22" s="19">
        <v>300</v>
      </c>
      <c r="F22" t="s">
        <v>10</v>
      </c>
      <c r="G22" t="s">
        <v>370</v>
      </c>
    </row>
    <row r="23" spans="1:13" x14ac:dyDescent="0.2">
      <c r="A23" s="1">
        <v>45593</v>
      </c>
      <c r="B23" t="s">
        <v>336</v>
      </c>
      <c r="C23" t="s">
        <v>329</v>
      </c>
      <c r="D23" t="s">
        <v>330</v>
      </c>
      <c r="E23" s="19">
        <v>200</v>
      </c>
      <c r="F23" t="s">
        <v>10</v>
      </c>
      <c r="G23" t="s">
        <v>371</v>
      </c>
    </row>
    <row r="24" spans="1:13" x14ac:dyDescent="0.2">
      <c r="A24" s="1">
        <v>45606</v>
      </c>
      <c r="B24" t="s">
        <v>372</v>
      </c>
      <c r="C24" t="s">
        <v>343</v>
      </c>
      <c r="D24" t="s">
        <v>344</v>
      </c>
      <c r="E24" s="19">
        <v>21</v>
      </c>
      <c r="F24" t="s">
        <v>877</v>
      </c>
      <c r="G24" t="s">
        <v>373</v>
      </c>
    </row>
    <row r="25" spans="1:13" x14ac:dyDescent="0.2">
      <c r="A25" s="1">
        <v>45621</v>
      </c>
      <c r="B25" t="s">
        <v>336</v>
      </c>
      <c r="C25" t="s">
        <v>329</v>
      </c>
      <c r="D25" t="s">
        <v>330</v>
      </c>
      <c r="E25" s="19">
        <v>200</v>
      </c>
      <c r="F25" t="s">
        <v>10</v>
      </c>
      <c r="G25" t="s">
        <v>374</v>
      </c>
    </row>
    <row r="26" spans="1:13" x14ac:dyDescent="0.2">
      <c r="A26" s="1">
        <v>45641</v>
      </c>
      <c r="B26" t="s">
        <v>375</v>
      </c>
      <c r="C26" t="s">
        <v>333</v>
      </c>
      <c r="D26" t="s">
        <v>334</v>
      </c>
      <c r="E26" s="19">
        <v>200</v>
      </c>
      <c r="F26" t="s">
        <v>10</v>
      </c>
      <c r="G26" t="s">
        <v>376</v>
      </c>
    </row>
    <row r="27" spans="1:13" x14ac:dyDescent="0.2">
      <c r="A27" s="1">
        <v>45651</v>
      </c>
      <c r="B27" t="s">
        <v>336</v>
      </c>
      <c r="C27" t="s">
        <v>329</v>
      </c>
      <c r="D27" t="s">
        <v>330</v>
      </c>
      <c r="E27" s="19">
        <v>300</v>
      </c>
      <c r="F27" t="s">
        <v>10</v>
      </c>
      <c r="G27" t="s">
        <v>377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4C641-1304-0B47-805F-89647D99542E}">
  <sheetPr codeName="Sheet8"/>
  <dimension ref="A1:K84"/>
  <sheetViews>
    <sheetView workbookViewId="0">
      <selection activeCell="A27" sqref="A27"/>
    </sheetView>
  </sheetViews>
  <sheetFormatPr baseColWidth="10" defaultRowHeight="16" x14ac:dyDescent="0.2"/>
  <cols>
    <col min="1" max="1" width="8.5" bestFit="1" customWidth="1"/>
    <col min="2" max="2" width="25.1640625" bestFit="1" customWidth="1"/>
    <col min="3" max="3" width="21.6640625" bestFit="1" customWidth="1"/>
    <col min="4" max="4" width="28" bestFit="1" customWidth="1"/>
    <col min="5" max="5" width="10.5" bestFit="1" customWidth="1"/>
    <col min="7" max="7" width="32.83203125" bestFit="1" customWidth="1"/>
    <col min="8" max="8" width="10.5" bestFit="1" customWidth="1"/>
    <col min="10" max="10" width="22.1640625" bestFit="1" customWidth="1"/>
    <col min="11" max="11" width="38.83203125" bestFit="1" customWidth="1"/>
  </cols>
  <sheetData>
    <row r="1" spans="1:11" x14ac:dyDescent="0.2">
      <c r="A1" s="5" t="s">
        <v>0</v>
      </c>
      <c r="B1" s="5" t="s">
        <v>407</v>
      </c>
      <c r="C1" s="5" t="s">
        <v>259</v>
      </c>
      <c r="D1" s="5" t="s">
        <v>2</v>
      </c>
      <c r="E1" s="5" t="s">
        <v>5</v>
      </c>
    </row>
    <row r="2" spans="1:11" x14ac:dyDescent="0.2">
      <c r="A2" s="1">
        <v>45306</v>
      </c>
      <c r="B2" t="s">
        <v>408</v>
      </c>
      <c r="C2" t="s">
        <v>409</v>
      </c>
      <c r="D2" t="s">
        <v>410</v>
      </c>
      <c r="E2" s="19">
        <v>1250</v>
      </c>
      <c r="G2" s="5" t="s">
        <v>461</v>
      </c>
      <c r="J2" s="5" t="s">
        <v>471</v>
      </c>
    </row>
    <row r="3" spans="1:11" x14ac:dyDescent="0.2">
      <c r="A3" s="1">
        <v>45330</v>
      </c>
      <c r="B3" t="s">
        <v>44</v>
      </c>
      <c r="C3" t="s">
        <v>411</v>
      </c>
      <c r="D3" t="s">
        <v>412</v>
      </c>
      <c r="E3" s="19">
        <v>485</v>
      </c>
      <c r="G3" t="s">
        <v>462</v>
      </c>
      <c r="H3" s="19">
        <f>SUMIF(C:C,"Investment Advisory Fees",E:E)</f>
        <v>3359</v>
      </c>
      <c r="J3" t="s">
        <v>462</v>
      </c>
      <c r="K3" t="s">
        <v>472</v>
      </c>
    </row>
    <row r="4" spans="1:11" x14ac:dyDescent="0.2">
      <c r="A4" s="1">
        <v>45344</v>
      </c>
      <c r="B4" t="s">
        <v>413</v>
      </c>
      <c r="C4" t="s">
        <v>414</v>
      </c>
      <c r="D4" t="s">
        <v>415</v>
      </c>
      <c r="E4" s="19">
        <v>75</v>
      </c>
      <c r="G4" t="s">
        <v>463</v>
      </c>
      <c r="H4" s="19">
        <f>SUMIF(C:C,"Tax Preparation Fees",E:E)</f>
        <v>760</v>
      </c>
      <c r="J4" t="s">
        <v>463</v>
      </c>
      <c r="K4" t="s">
        <v>473</v>
      </c>
    </row>
    <row r="5" spans="1:11" x14ac:dyDescent="0.2">
      <c r="A5" s="1">
        <v>45361</v>
      </c>
      <c r="B5" t="s">
        <v>416</v>
      </c>
      <c r="C5" t="s">
        <v>409</v>
      </c>
      <c r="D5" t="s">
        <v>417</v>
      </c>
      <c r="E5" s="19">
        <v>350</v>
      </c>
      <c r="G5" t="s">
        <v>464</v>
      </c>
      <c r="H5" s="19">
        <f>SUMIF(C:C,"Safe Deposit Box",E:E)</f>
        <v>120</v>
      </c>
      <c r="J5" t="s">
        <v>464</v>
      </c>
      <c r="K5" t="s">
        <v>474</v>
      </c>
    </row>
    <row r="6" spans="1:11" x14ac:dyDescent="0.2">
      <c r="A6" s="1">
        <v>45376</v>
      </c>
      <c r="B6" t="s">
        <v>418</v>
      </c>
      <c r="C6" t="s">
        <v>419</v>
      </c>
      <c r="D6" t="s">
        <v>420</v>
      </c>
      <c r="E6" s="19">
        <v>249</v>
      </c>
      <c r="G6" t="s">
        <v>465</v>
      </c>
      <c r="H6" s="19">
        <f>SUMIF(C:C,"Legal Fees (Investment)",E:E)</f>
        <v>2250</v>
      </c>
      <c r="J6" t="s">
        <v>475</v>
      </c>
      <c r="K6" t="s">
        <v>476</v>
      </c>
    </row>
    <row r="7" spans="1:11" x14ac:dyDescent="0.2">
      <c r="A7" s="1">
        <v>45394</v>
      </c>
      <c r="B7" t="s">
        <v>421</v>
      </c>
      <c r="C7" t="s">
        <v>422</v>
      </c>
      <c r="D7" t="s">
        <v>423</v>
      </c>
      <c r="E7" s="19">
        <v>189.99</v>
      </c>
      <c r="G7" t="s">
        <v>466</v>
      </c>
      <c r="H7" s="19">
        <f>SUMIF(C:C,"Investment Publications",E:E)</f>
        <v>437.98</v>
      </c>
    </row>
    <row r="8" spans="1:11" x14ac:dyDescent="0.2">
      <c r="A8" s="1">
        <v>45410</v>
      </c>
      <c r="B8" t="s">
        <v>424</v>
      </c>
      <c r="C8" t="s">
        <v>409</v>
      </c>
      <c r="D8" t="s">
        <v>425</v>
      </c>
      <c r="E8" s="19">
        <v>45</v>
      </c>
      <c r="G8" t="s">
        <v>467</v>
      </c>
      <c r="H8" s="19">
        <f>SUMIF(C:C,"Financial Software",E:E)</f>
        <v>99.99</v>
      </c>
      <c r="J8" s="5" t="s">
        <v>481</v>
      </c>
    </row>
    <row r="9" spans="1:11" x14ac:dyDescent="0.2">
      <c r="A9" s="1">
        <v>45427</v>
      </c>
      <c r="B9" t="s">
        <v>426</v>
      </c>
      <c r="C9" t="s">
        <v>427</v>
      </c>
      <c r="D9" t="s">
        <v>428</v>
      </c>
      <c r="E9" s="19">
        <v>750</v>
      </c>
      <c r="G9" t="s">
        <v>468</v>
      </c>
      <c r="H9" s="19">
        <f>SUMIF(C:C,"Investment Research",E:E)</f>
        <v>2595</v>
      </c>
      <c r="J9" s="42" t="s">
        <v>482</v>
      </c>
      <c r="K9" s="42"/>
    </row>
    <row r="10" spans="1:11" x14ac:dyDescent="0.2">
      <c r="A10" s="1">
        <v>45442</v>
      </c>
      <c r="B10" t="s">
        <v>429</v>
      </c>
      <c r="C10" t="s">
        <v>419</v>
      </c>
      <c r="D10" t="s">
        <v>430</v>
      </c>
      <c r="E10" s="19">
        <v>39.99</v>
      </c>
      <c r="G10" t="s">
        <v>469</v>
      </c>
      <c r="H10" s="19">
        <f>SUMIF(C:C,"Tax Preparation Software",E:E)</f>
        <v>269.98</v>
      </c>
      <c r="J10" s="42" t="s">
        <v>483</v>
      </c>
      <c r="K10" s="42"/>
    </row>
    <row r="11" spans="1:11" x14ac:dyDescent="0.2">
      <c r="A11" s="1">
        <v>45451</v>
      </c>
      <c r="B11" t="s">
        <v>431</v>
      </c>
      <c r="C11" t="s">
        <v>432</v>
      </c>
      <c r="D11" t="s">
        <v>433</v>
      </c>
      <c r="E11" s="19">
        <v>99.99</v>
      </c>
      <c r="H11" s="19"/>
      <c r="J11" s="42" t="s">
        <v>484</v>
      </c>
      <c r="K11" s="42"/>
    </row>
    <row r="12" spans="1:11" x14ac:dyDescent="0.2">
      <c r="A12" s="1">
        <v>45463</v>
      </c>
      <c r="B12" t="s">
        <v>434</v>
      </c>
      <c r="C12" t="s">
        <v>419</v>
      </c>
      <c r="D12" t="s">
        <v>435</v>
      </c>
      <c r="E12" s="19">
        <v>129</v>
      </c>
      <c r="G12" s="5" t="s">
        <v>470</v>
      </c>
      <c r="H12" s="19">
        <f>SUM(E:E)</f>
        <v>10791.949999999999</v>
      </c>
      <c r="J12" s="42" t="s">
        <v>485</v>
      </c>
      <c r="K12" s="42"/>
    </row>
    <row r="13" spans="1:11" x14ac:dyDescent="0.2">
      <c r="A13" s="1">
        <v>45483</v>
      </c>
      <c r="B13" t="s">
        <v>436</v>
      </c>
      <c r="C13" t="s">
        <v>409</v>
      </c>
      <c r="D13" t="s">
        <v>437</v>
      </c>
      <c r="E13" s="19">
        <v>125</v>
      </c>
      <c r="H13" s="19"/>
      <c r="J13" s="42" t="s">
        <v>486</v>
      </c>
      <c r="K13" s="42"/>
    </row>
    <row r="14" spans="1:11" x14ac:dyDescent="0.2">
      <c r="A14" s="1">
        <v>45498</v>
      </c>
      <c r="B14" t="s">
        <v>438</v>
      </c>
      <c r="C14" t="s">
        <v>427</v>
      </c>
      <c r="D14" t="s">
        <v>439</v>
      </c>
      <c r="E14" s="19">
        <v>1500</v>
      </c>
      <c r="G14" s="5" t="s">
        <v>261</v>
      </c>
      <c r="H14" s="19"/>
    </row>
    <row r="15" spans="1:11" x14ac:dyDescent="0.2">
      <c r="A15" s="1">
        <v>45516</v>
      </c>
      <c r="B15" t="s">
        <v>440</v>
      </c>
      <c r="C15" t="s">
        <v>441</v>
      </c>
      <c r="D15" t="s">
        <v>442</v>
      </c>
      <c r="E15" s="19">
        <v>2000</v>
      </c>
      <c r="G15" t="s">
        <v>145</v>
      </c>
      <c r="H15" s="19">
        <f>SUMIFS(E:E,A:A,"&gt;="&amp;DATE(2024,1,1),A:A,"&lt;"&amp;DATE(2024,4,1))</f>
        <v>2409</v>
      </c>
    </row>
    <row r="16" spans="1:11" x14ac:dyDescent="0.2">
      <c r="A16" s="1">
        <v>45532</v>
      </c>
      <c r="B16" t="s">
        <v>443</v>
      </c>
      <c r="C16" t="s">
        <v>409</v>
      </c>
      <c r="D16" t="s">
        <v>444</v>
      </c>
      <c r="E16" s="19">
        <v>450</v>
      </c>
      <c r="G16" t="s">
        <v>150</v>
      </c>
      <c r="H16" s="19">
        <f>SUMIFS(E:E,A:A,"&gt;="&amp;DATE(2024,4,1),A:A,"&lt;"&amp;DATE(2024,7,1))</f>
        <v>1253.97</v>
      </c>
    </row>
    <row r="17" spans="1:8" x14ac:dyDescent="0.2">
      <c r="A17" s="1">
        <v>45550</v>
      </c>
      <c r="B17" t="s">
        <v>445</v>
      </c>
      <c r="C17" t="s">
        <v>419</v>
      </c>
      <c r="D17" t="s">
        <v>446</v>
      </c>
      <c r="E17" s="19">
        <v>19.989999999999998</v>
      </c>
      <c r="G17" t="s">
        <v>151</v>
      </c>
      <c r="H17" s="19">
        <f>SUMIFS(E:E,A:A,"&gt;="&amp;DATE(2024,7,1),A:A,"&lt;"&amp;DATE(2024,10,1))</f>
        <v>4183.99</v>
      </c>
    </row>
    <row r="18" spans="1:8" x14ac:dyDescent="0.2">
      <c r="A18" s="1">
        <v>45565</v>
      </c>
      <c r="B18" t="s">
        <v>447</v>
      </c>
      <c r="C18" t="s">
        <v>409</v>
      </c>
      <c r="D18" t="s">
        <v>448</v>
      </c>
      <c r="E18" s="19">
        <v>89</v>
      </c>
      <c r="G18" t="s">
        <v>152</v>
      </c>
      <c r="H18" s="19">
        <f>SUMIFS(E:E,A:A,"&gt;="&amp;DATE(2024,10,1),A:A,"&lt;"&amp;DATE(2025,1,1))</f>
        <v>2044.99</v>
      </c>
    </row>
    <row r="19" spans="1:8" x14ac:dyDescent="0.2">
      <c r="A19" s="1">
        <v>45573</v>
      </c>
      <c r="B19" t="s">
        <v>449</v>
      </c>
      <c r="C19" t="s">
        <v>411</v>
      </c>
      <c r="D19" t="s">
        <v>450</v>
      </c>
      <c r="E19" s="19">
        <v>275</v>
      </c>
    </row>
    <row r="20" spans="1:8" x14ac:dyDescent="0.2">
      <c r="A20" s="1">
        <v>45587</v>
      </c>
      <c r="B20" t="s">
        <v>451</v>
      </c>
      <c r="C20" t="s">
        <v>441</v>
      </c>
      <c r="D20" t="s">
        <v>452</v>
      </c>
      <c r="E20" s="19">
        <v>595</v>
      </c>
      <c r="G20" s="5" t="s">
        <v>477</v>
      </c>
    </row>
    <row r="21" spans="1:8" x14ac:dyDescent="0.2">
      <c r="A21" s="1">
        <v>45601</v>
      </c>
      <c r="B21" t="s">
        <v>453</v>
      </c>
      <c r="C21" t="s">
        <v>414</v>
      </c>
      <c r="D21" t="s">
        <v>454</v>
      </c>
      <c r="E21" s="19">
        <v>45</v>
      </c>
      <c r="G21" t="s">
        <v>478</v>
      </c>
      <c r="H21">
        <f>COUNTIF(E:E,"&gt;500")</f>
        <v>6</v>
      </c>
    </row>
    <row r="22" spans="1:8" x14ac:dyDescent="0.2">
      <c r="A22" s="1">
        <v>45614</v>
      </c>
      <c r="B22" t="s">
        <v>455</v>
      </c>
      <c r="C22" t="s">
        <v>409</v>
      </c>
      <c r="D22" t="s">
        <v>456</v>
      </c>
      <c r="E22" s="19">
        <v>650</v>
      </c>
      <c r="G22" t="s">
        <v>479</v>
      </c>
      <c r="H22" s="19">
        <f>SUMIF(E:E,"&gt;500")</f>
        <v>6745</v>
      </c>
    </row>
    <row r="23" spans="1:8" x14ac:dyDescent="0.2">
      <c r="A23" s="1">
        <v>45629</v>
      </c>
      <c r="B23" t="s">
        <v>457</v>
      </c>
      <c r="C23" t="s">
        <v>422</v>
      </c>
      <c r="D23" t="s">
        <v>458</v>
      </c>
      <c r="E23" s="19">
        <v>79.989999999999995</v>
      </c>
      <c r="G23" t="s">
        <v>480</v>
      </c>
      <c r="H23" s="11">
        <f>H22/H12</f>
        <v>0.62500289567687028</v>
      </c>
    </row>
    <row r="24" spans="1:8" x14ac:dyDescent="0.2">
      <c r="A24" s="1">
        <v>45641</v>
      </c>
      <c r="B24" t="s">
        <v>459</v>
      </c>
      <c r="C24" t="s">
        <v>409</v>
      </c>
      <c r="D24" t="s">
        <v>460</v>
      </c>
      <c r="E24" s="19">
        <v>400</v>
      </c>
    </row>
    <row r="25" spans="1:8" x14ac:dyDescent="0.2">
      <c r="A25" s="35">
        <v>45677</v>
      </c>
      <c r="B25" s="33" t="s">
        <v>921</v>
      </c>
      <c r="C25" s="33" t="s">
        <v>13</v>
      </c>
      <c r="D25" s="33" t="s">
        <v>920</v>
      </c>
      <c r="E25" s="36">
        <v>15</v>
      </c>
      <c r="F25" s="33"/>
      <c r="G25" s="33"/>
    </row>
    <row r="26" spans="1:8" x14ac:dyDescent="0.2">
      <c r="A26" s="35">
        <v>45708</v>
      </c>
      <c r="B26" s="33" t="s">
        <v>921</v>
      </c>
      <c r="C26" s="33" t="s">
        <v>13</v>
      </c>
      <c r="D26" s="33" t="s">
        <v>920</v>
      </c>
      <c r="E26" s="36">
        <v>15</v>
      </c>
      <c r="F26" s="33"/>
      <c r="G26" s="33"/>
    </row>
    <row r="27" spans="1:8" x14ac:dyDescent="0.2">
      <c r="A27" s="35">
        <v>45736</v>
      </c>
      <c r="B27" s="33" t="s">
        <v>921</v>
      </c>
      <c r="C27" s="33" t="s">
        <v>13</v>
      </c>
      <c r="D27" s="33" t="s">
        <v>920</v>
      </c>
      <c r="E27" s="36">
        <v>15</v>
      </c>
      <c r="F27" s="33"/>
      <c r="G27" s="33"/>
    </row>
    <row r="28" spans="1:8" x14ac:dyDescent="0.2">
      <c r="A28" s="35">
        <v>45768</v>
      </c>
      <c r="B28" s="33" t="s">
        <v>921</v>
      </c>
      <c r="C28" s="33" t="s">
        <v>13</v>
      </c>
      <c r="D28" s="33" t="s">
        <v>920</v>
      </c>
      <c r="E28" s="36">
        <v>15</v>
      </c>
      <c r="F28" s="33"/>
      <c r="G28" s="33"/>
    </row>
    <row r="29" spans="1:8" x14ac:dyDescent="0.2">
      <c r="A29" s="35">
        <v>45797</v>
      </c>
      <c r="B29" s="33" t="s">
        <v>921</v>
      </c>
      <c r="C29" s="33" t="s">
        <v>13</v>
      </c>
      <c r="D29" s="33" t="s">
        <v>920</v>
      </c>
      <c r="E29" s="36">
        <v>15</v>
      </c>
      <c r="F29" s="33"/>
      <c r="G29" s="33"/>
    </row>
    <row r="30" spans="1:8" x14ac:dyDescent="0.2">
      <c r="A30" s="35">
        <v>45828</v>
      </c>
      <c r="B30" s="33" t="s">
        <v>921</v>
      </c>
      <c r="C30" s="33" t="s">
        <v>13</v>
      </c>
      <c r="D30" s="33" t="s">
        <v>920</v>
      </c>
      <c r="E30" s="36">
        <v>15</v>
      </c>
      <c r="F30" s="33"/>
      <c r="G30" s="33"/>
    </row>
    <row r="31" spans="1:8" x14ac:dyDescent="0.2">
      <c r="A31" s="35">
        <v>45859</v>
      </c>
      <c r="B31" s="33" t="s">
        <v>921</v>
      </c>
      <c r="C31" s="33" t="s">
        <v>13</v>
      </c>
      <c r="D31" s="33" t="s">
        <v>920</v>
      </c>
      <c r="E31" s="36">
        <v>15</v>
      </c>
      <c r="F31" s="33"/>
      <c r="G31" s="33"/>
    </row>
    <row r="32" spans="1:8" x14ac:dyDescent="0.2">
      <c r="A32" s="35">
        <v>45889</v>
      </c>
      <c r="B32" s="33" t="s">
        <v>921</v>
      </c>
      <c r="C32" s="33" t="s">
        <v>13</v>
      </c>
      <c r="D32" s="33" t="s">
        <v>920</v>
      </c>
      <c r="E32" s="36">
        <v>15</v>
      </c>
      <c r="F32" s="33"/>
      <c r="G32" s="33"/>
    </row>
    <row r="33" spans="1:7" x14ac:dyDescent="0.2">
      <c r="A33" s="35">
        <v>45922</v>
      </c>
      <c r="B33" s="33" t="s">
        <v>921</v>
      </c>
      <c r="C33" s="33" t="s">
        <v>13</v>
      </c>
      <c r="D33" s="33" t="s">
        <v>920</v>
      </c>
      <c r="E33" s="36">
        <v>15</v>
      </c>
      <c r="F33" s="33"/>
      <c r="G33" s="33"/>
    </row>
    <row r="34" spans="1:7" x14ac:dyDescent="0.2">
      <c r="A34" s="35">
        <v>45950</v>
      </c>
      <c r="B34" s="33" t="s">
        <v>921</v>
      </c>
      <c r="C34" s="33" t="s">
        <v>13</v>
      </c>
      <c r="D34" s="33" t="s">
        <v>920</v>
      </c>
      <c r="E34" s="36">
        <v>15</v>
      </c>
      <c r="F34" s="33"/>
      <c r="G34" s="33"/>
    </row>
    <row r="35" spans="1:7" x14ac:dyDescent="0.2">
      <c r="A35" s="35">
        <v>45981</v>
      </c>
      <c r="B35" s="33" t="s">
        <v>921</v>
      </c>
      <c r="C35" s="33" t="s">
        <v>13</v>
      </c>
      <c r="D35" s="33" t="s">
        <v>920</v>
      </c>
      <c r="E35" s="36">
        <v>15</v>
      </c>
      <c r="F35" s="33"/>
      <c r="G35" s="33"/>
    </row>
    <row r="36" spans="1:7" x14ac:dyDescent="0.2">
      <c r="A36" s="35">
        <v>46013</v>
      </c>
      <c r="B36" s="33" t="s">
        <v>921</v>
      </c>
      <c r="C36" s="33" t="s">
        <v>13</v>
      </c>
      <c r="D36" s="33" t="s">
        <v>920</v>
      </c>
      <c r="E36" s="36">
        <v>15</v>
      </c>
      <c r="F36" s="33"/>
      <c r="G36" s="33"/>
    </row>
    <row r="37" spans="1:7" x14ac:dyDescent="0.2">
      <c r="A37" s="1">
        <v>45677</v>
      </c>
      <c r="B37" t="s">
        <v>921</v>
      </c>
      <c r="C37" t="s">
        <v>13</v>
      </c>
      <c r="D37" t="s">
        <v>920</v>
      </c>
      <c r="E37" s="26">
        <v>15</v>
      </c>
    </row>
    <row r="38" spans="1:7" x14ac:dyDescent="0.2">
      <c r="A38" s="1">
        <v>45708</v>
      </c>
      <c r="B38" t="s">
        <v>921</v>
      </c>
      <c r="C38" t="s">
        <v>13</v>
      </c>
      <c r="D38" t="s">
        <v>920</v>
      </c>
      <c r="E38" s="26">
        <v>15</v>
      </c>
    </row>
    <row r="39" spans="1:7" x14ac:dyDescent="0.2">
      <c r="A39" s="1">
        <v>45736</v>
      </c>
      <c r="B39" t="s">
        <v>921</v>
      </c>
      <c r="C39" t="s">
        <v>13</v>
      </c>
      <c r="D39" t="s">
        <v>920</v>
      </c>
      <c r="E39" s="26">
        <v>15</v>
      </c>
    </row>
    <row r="40" spans="1:7" x14ac:dyDescent="0.2">
      <c r="A40" s="1">
        <v>45768</v>
      </c>
      <c r="B40" t="s">
        <v>921</v>
      </c>
      <c r="C40" t="s">
        <v>13</v>
      </c>
      <c r="D40" t="s">
        <v>920</v>
      </c>
      <c r="E40" s="26">
        <v>15</v>
      </c>
    </row>
    <row r="41" spans="1:7" x14ac:dyDescent="0.2">
      <c r="A41" s="1">
        <v>45797</v>
      </c>
      <c r="B41" t="s">
        <v>921</v>
      </c>
      <c r="C41" t="s">
        <v>13</v>
      </c>
      <c r="D41" t="s">
        <v>920</v>
      </c>
      <c r="E41" s="26">
        <v>15</v>
      </c>
    </row>
    <row r="42" spans="1:7" x14ac:dyDescent="0.2">
      <c r="A42" s="1">
        <v>45828</v>
      </c>
      <c r="B42" t="s">
        <v>921</v>
      </c>
      <c r="C42" t="s">
        <v>13</v>
      </c>
      <c r="D42" t="s">
        <v>920</v>
      </c>
      <c r="E42" s="26">
        <v>15</v>
      </c>
    </row>
    <row r="43" spans="1:7" x14ac:dyDescent="0.2">
      <c r="A43" s="1">
        <v>45859</v>
      </c>
      <c r="B43" t="s">
        <v>921</v>
      </c>
      <c r="C43" t="s">
        <v>13</v>
      </c>
      <c r="D43" t="s">
        <v>920</v>
      </c>
      <c r="E43" s="26">
        <v>15</v>
      </c>
    </row>
    <row r="44" spans="1:7" x14ac:dyDescent="0.2">
      <c r="A44" s="1">
        <v>45889</v>
      </c>
      <c r="B44" t="s">
        <v>921</v>
      </c>
      <c r="C44" t="s">
        <v>13</v>
      </c>
      <c r="D44" t="s">
        <v>920</v>
      </c>
      <c r="E44" s="26">
        <v>15</v>
      </c>
    </row>
    <row r="45" spans="1:7" x14ac:dyDescent="0.2">
      <c r="A45" s="1">
        <v>45922</v>
      </c>
      <c r="B45" t="s">
        <v>921</v>
      </c>
      <c r="C45" t="s">
        <v>13</v>
      </c>
      <c r="D45" t="s">
        <v>920</v>
      </c>
      <c r="E45" s="26">
        <v>15</v>
      </c>
    </row>
    <row r="46" spans="1:7" x14ac:dyDescent="0.2">
      <c r="A46" s="1">
        <v>45950</v>
      </c>
      <c r="B46" t="s">
        <v>921</v>
      </c>
      <c r="C46" t="s">
        <v>13</v>
      </c>
      <c r="D46" t="s">
        <v>920</v>
      </c>
      <c r="E46" s="26">
        <v>15</v>
      </c>
    </row>
    <row r="47" spans="1:7" x14ac:dyDescent="0.2">
      <c r="A47" s="1">
        <v>45981</v>
      </c>
      <c r="B47" t="s">
        <v>921</v>
      </c>
      <c r="C47" t="s">
        <v>13</v>
      </c>
      <c r="D47" t="s">
        <v>920</v>
      </c>
      <c r="E47" s="26">
        <v>15</v>
      </c>
    </row>
    <row r="48" spans="1:7" x14ac:dyDescent="0.2">
      <c r="A48" s="1">
        <v>46013</v>
      </c>
      <c r="B48" t="s">
        <v>921</v>
      </c>
      <c r="C48" t="s">
        <v>13</v>
      </c>
      <c r="D48" t="s">
        <v>920</v>
      </c>
      <c r="E48" s="26">
        <v>15</v>
      </c>
    </row>
    <row r="49" spans="1:5" x14ac:dyDescent="0.2">
      <c r="A49" s="1">
        <v>45677</v>
      </c>
      <c r="B49" t="s">
        <v>921</v>
      </c>
      <c r="C49" t="s">
        <v>13</v>
      </c>
      <c r="D49" t="s">
        <v>920</v>
      </c>
      <c r="E49" s="26">
        <v>15</v>
      </c>
    </row>
    <row r="50" spans="1:5" x14ac:dyDescent="0.2">
      <c r="A50" s="1">
        <v>45708</v>
      </c>
      <c r="B50" t="s">
        <v>921</v>
      </c>
      <c r="C50" t="s">
        <v>13</v>
      </c>
      <c r="D50" t="s">
        <v>920</v>
      </c>
      <c r="E50" s="26">
        <v>15</v>
      </c>
    </row>
    <row r="51" spans="1:5" x14ac:dyDescent="0.2">
      <c r="A51" s="1">
        <v>45736</v>
      </c>
      <c r="B51" t="s">
        <v>921</v>
      </c>
      <c r="C51" t="s">
        <v>13</v>
      </c>
      <c r="D51" t="s">
        <v>920</v>
      </c>
      <c r="E51" s="26">
        <v>15</v>
      </c>
    </row>
    <row r="52" spans="1:5" x14ac:dyDescent="0.2">
      <c r="A52" s="1">
        <v>45768</v>
      </c>
      <c r="B52" t="s">
        <v>921</v>
      </c>
      <c r="C52" t="s">
        <v>13</v>
      </c>
      <c r="D52" t="s">
        <v>920</v>
      </c>
      <c r="E52" s="26">
        <v>15</v>
      </c>
    </row>
    <row r="53" spans="1:5" x14ac:dyDescent="0.2">
      <c r="A53" s="1">
        <v>45797</v>
      </c>
      <c r="B53" t="s">
        <v>921</v>
      </c>
      <c r="C53" t="s">
        <v>13</v>
      </c>
      <c r="D53" t="s">
        <v>920</v>
      </c>
      <c r="E53" s="26">
        <v>15</v>
      </c>
    </row>
    <row r="54" spans="1:5" x14ac:dyDescent="0.2">
      <c r="A54" s="1">
        <v>45828</v>
      </c>
      <c r="B54" t="s">
        <v>921</v>
      </c>
      <c r="C54" t="s">
        <v>13</v>
      </c>
      <c r="D54" t="s">
        <v>920</v>
      </c>
      <c r="E54" s="26">
        <v>15</v>
      </c>
    </row>
    <row r="55" spans="1:5" x14ac:dyDescent="0.2">
      <c r="A55" s="1">
        <v>45859</v>
      </c>
      <c r="B55" t="s">
        <v>921</v>
      </c>
      <c r="C55" t="s">
        <v>13</v>
      </c>
      <c r="D55" t="s">
        <v>920</v>
      </c>
      <c r="E55" s="26">
        <v>15</v>
      </c>
    </row>
    <row r="56" spans="1:5" x14ac:dyDescent="0.2">
      <c r="A56" s="1">
        <v>45889</v>
      </c>
      <c r="B56" t="s">
        <v>921</v>
      </c>
      <c r="C56" t="s">
        <v>13</v>
      </c>
      <c r="D56" t="s">
        <v>920</v>
      </c>
      <c r="E56" s="26">
        <v>15</v>
      </c>
    </row>
    <row r="57" spans="1:5" x14ac:dyDescent="0.2">
      <c r="A57" s="1">
        <v>45922</v>
      </c>
      <c r="B57" t="s">
        <v>921</v>
      </c>
      <c r="C57" t="s">
        <v>13</v>
      </c>
      <c r="D57" t="s">
        <v>920</v>
      </c>
      <c r="E57" s="26">
        <v>15</v>
      </c>
    </row>
    <row r="58" spans="1:5" x14ac:dyDescent="0.2">
      <c r="A58" s="1">
        <v>45950</v>
      </c>
      <c r="B58" t="s">
        <v>921</v>
      </c>
      <c r="C58" t="s">
        <v>13</v>
      </c>
      <c r="D58" t="s">
        <v>920</v>
      </c>
      <c r="E58" s="26">
        <v>15</v>
      </c>
    </row>
    <row r="59" spans="1:5" x14ac:dyDescent="0.2">
      <c r="A59" s="1">
        <v>45981</v>
      </c>
      <c r="B59" t="s">
        <v>921</v>
      </c>
      <c r="C59" t="s">
        <v>13</v>
      </c>
      <c r="D59" t="s">
        <v>920</v>
      </c>
      <c r="E59" s="26">
        <v>15</v>
      </c>
    </row>
    <row r="60" spans="1:5" x14ac:dyDescent="0.2">
      <c r="A60" s="1">
        <v>46013</v>
      </c>
      <c r="B60" t="s">
        <v>921</v>
      </c>
      <c r="C60" t="s">
        <v>13</v>
      </c>
      <c r="D60" t="s">
        <v>920</v>
      </c>
      <c r="E60" s="26">
        <v>15</v>
      </c>
    </row>
    <row r="61" spans="1:5" x14ac:dyDescent="0.2">
      <c r="A61" s="1">
        <v>45677</v>
      </c>
      <c r="B61" t="s">
        <v>921</v>
      </c>
      <c r="C61" t="s">
        <v>13</v>
      </c>
      <c r="D61" t="s">
        <v>920</v>
      </c>
      <c r="E61" s="26">
        <v>15</v>
      </c>
    </row>
    <row r="62" spans="1:5" x14ac:dyDescent="0.2">
      <c r="A62" s="1">
        <v>45708</v>
      </c>
      <c r="B62" t="s">
        <v>921</v>
      </c>
      <c r="C62" t="s">
        <v>13</v>
      </c>
      <c r="D62" t="s">
        <v>920</v>
      </c>
      <c r="E62" s="26">
        <v>15</v>
      </c>
    </row>
    <row r="63" spans="1:5" x14ac:dyDescent="0.2">
      <c r="A63" s="1">
        <v>45736</v>
      </c>
      <c r="B63" t="s">
        <v>921</v>
      </c>
      <c r="C63" t="s">
        <v>13</v>
      </c>
      <c r="D63" t="s">
        <v>920</v>
      </c>
      <c r="E63" s="26">
        <v>15</v>
      </c>
    </row>
    <row r="64" spans="1:5" x14ac:dyDescent="0.2">
      <c r="A64" s="1">
        <v>45768</v>
      </c>
      <c r="B64" t="s">
        <v>921</v>
      </c>
      <c r="C64" t="s">
        <v>13</v>
      </c>
      <c r="D64" t="s">
        <v>920</v>
      </c>
      <c r="E64" s="26">
        <v>15</v>
      </c>
    </row>
    <row r="65" spans="1:5" x14ac:dyDescent="0.2">
      <c r="A65" s="1">
        <v>45797</v>
      </c>
      <c r="B65" t="s">
        <v>921</v>
      </c>
      <c r="C65" t="s">
        <v>13</v>
      </c>
      <c r="D65" t="s">
        <v>920</v>
      </c>
      <c r="E65" s="26">
        <v>15</v>
      </c>
    </row>
    <row r="66" spans="1:5" x14ac:dyDescent="0.2">
      <c r="A66" s="1">
        <v>45828</v>
      </c>
      <c r="B66" t="s">
        <v>921</v>
      </c>
      <c r="C66" t="s">
        <v>13</v>
      </c>
      <c r="D66" t="s">
        <v>920</v>
      </c>
      <c r="E66" s="26">
        <v>15</v>
      </c>
    </row>
    <row r="67" spans="1:5" x14ac:dyDescent="0.2">
      <c r="A67" s="1">
        <v>45859</v>
      </c>
      <c r="B67" t="s">
        <v>921</v>
      </c>
      <c r="C67" t="s">
        <v>13</v>
      </c>
      <c r="D67" t="s">
        <v>920</v>
      </c>
      <c r="E67" s="26">
        <v>15</v>
      </c>
    </row>
    <row r="68" spans="1:5" x14ac:dyDescent="0.2">
      <c r="A68" s="1">
        <v>45889</v>
      </c>
      <c r="B68" t="s">
        <v>921</v>
      </c>
      <c r="C68" t="s">
        <v>13</v>
      </c>
      <c r="D68" t="s">
        <v>920</v>
      </c>
      <c r="E68" s="26">
        <v>15</v>
      </c>
    </row>
    <row r="69" spans="1:5" x14ac:dyDescent="0.2">
      <c r="A69" s="1">
        <v>45922</v>
      </c>
      <c r="B69" t="s">
        <v>921</v>
      </c>
      <c r="C69" t="s">
        <v>13</v>
      </c>
      <c r="D69" t="s">
        <v>920</v>
      </c>
      <c r="E69" s="26">
        <v>15</v>
      </c>
    </row>
    <row r="70" spans="1:5" x14ac:dyDescent="0.2">
      <c r="A70" s="1">
        <v>45950</v>
      </c>
      <c r="B70" t="s">
        <v>921</v>
      </c>
      <c r="C70" t="s">
        <v>13</v>
      </c>
      <c r="D70" t="s">
        <v>920</v>
      </c>
      <c r="E70" s="26">
        <v>15</v>
      </c>
    </row>
    <row r="71" spans="1:5" x14ac:dyDescent="0.2">
      <c r="A71" s="1">
        <v>45981</v>
      </c>
      <c r="B71" t="s">
        <v>921</v>
      </c>
      <c r="C71" t="s">
        <v>13</v>
      </c>
      <c r="D71" t="s">
        <v>920</v>
      </c>
      <c r="E71" s="26">
        <v>15</v>
      </c>
    </row>
    <row r="72" spans="1:5" x14ac:dyDescent="0.2">
      <c r="A72" s="1">
        <v>46013</v>
      </c>
      <c r="B72" t="s">
        <v>921</v>
      </c>
      <c r="C72" t="s">
        <v>13</v>
      </c>
      <c r="D72" t="s">
        <v>920</v>
      </c>
      <c r="E72" s="26">
        <v>15</v>
      </c>
    </row>
    <row r="73" spans="1:5" x14ac:dyDescent="0.2">
      <c r="A73" s="1">
        <v>45677</v>
      </c>
      <c r="B73" t="s">
        <v>921</v>
      </c>
      <c r="C73" t="s">
        <v>13</v>
      </c>
      <c r="D73" t="s">
        <v>920</v>
      </c>
      <c r="E73" s="26">
        <v>15</v>
      </c>
    </row>
    <row r="74" spans="1:5" x14ac:dyDescent="0.2">
      <c r="A74" s="1">
        <v>45708</v>
      </c>
      <c r="B74" t="s">
        <v>921</v>
      </c>
      <c r="C74" t="s">
        <v>13</v>
      </c>
      <c r="D74" t="s">
        <v>920</v>
      </c>
      <c r="E74" s="26">
        <v>15</v>
      </c>
    </row>
    <row r="75" spans="1:5" x14ac:dyDescent="0.2">
      <c r="A75" s="1">
        <v>45736</v>
      </c>
      <c r="B75" t="s">
        <v>921</v>
      </c>
      <c r="C75" t="s">
        <v>13</v>
      </c>
      <c r="D75" t="s">
        <v>920</v>
      </c>
      <c r="E75" s="26">
        <v>15</v>
      </c>
    </row>
    <row r="76" spans="1:5" x14ac:dyDescent="0.2">
      <c r="A76" s="1">
        <v>45768</v>
      </c>
      <c r="B76" t="s">
        <v>921</v>
      </c>
      <c r="C76" t="s">
        <v>13</v>
      </c>
      <c r="D76" t="s">
        <v>920</v>
      </c>
      <c r="E76" s="26">
        <v>15</v>
      </c>
    </row>
    <row r="77" spans="1:5" x14ac:dyDescent="0.2">
      <c r="A77" s="1">
        <v>45797</v>
      </c>
      <c r="B77" t="s">
        <v>921</v>
      </c>
      <c r="C77" t="s">
        <v>13</v>
      </c>
      <c r="D77" t="s">
        <v>920</v>
      </c>
      <c r="E77" s="26">
        <v>15</v>
      </c>
    </row>
    <row r="78" spans="1:5" x14ac:dyDescent="0.2">
      <c r="A78" s="1">
        <v>45828</v>
      </c>
      <c r="B78" t="s">
        <v>921</v>
      </c>
      <c r="C78" t="s">
        <v>13</v>
      </c>
      <c r="D78" t="s">
        <v>920</v>
      </c>
      <c r="E78" s="26">
        <v>15</v>
      </c>
    </row>
    <row r="79" spans="1:5" x14ac:dyDescent="0.2">
      <c r="A79" s="1">
        <v>45859</v>
      </c>
      <c r="B79" t="s">
        <v>921</v>
      </c>
      <c r="C79" t="s">
        <v>13</v>
      </c>
      <c r="D79" t="s">
        <v>920</v>
      </c>
      <c r="E79" s="26">
        <v>15</v>
      </c>
    </row>
    <row r="80" spans="1:5" x14ac:dyDescent="0.2">
      <c r="A80" s="1">
        <v>45889</v>
      </c>
      <c r="B80" t="s">
        <v>921</v>
      </c>
      <c r="C80" t="s">
        <v>13</v>
      </c>
      <c r="D80" t="s">
        <v>920</v>
      </c>
      <c r="E80" s="26">
        <v>15</v>
      </c>
    </row>
    <row r="81" spans="1:5" x14ac:dyDescent="0.2">
      <c r="A81" s="1">
        <v>45922</v>
      </c>
      <c r="B81" t="s">
        <v>921</v>
      </c>
      <c r="C81" t="s">
        <v>13</v>
      </c>
      <c r="D81" t="s">
        <v>920</v>
      </c>
      <c r="E81" s="26">
        <v>15</v>
      </c>
    </row>
    <row r="82" spans="1:5" x14ac:dyDescent="0.2">
      <c r="A82" s="1">
        <v>45950</v>
      </c>
      <c r="B82" t="s">
        <v>921</v>
      </c>
      <c r="C82" t="s">
        <v>13</v>
      </c>
      <c r="D82" t="s">
        <v>920</v>
      </c>
      <c r="E82" s="26">
        <v>15</v>
      </c>
    </row>
    <row r="83" spans="1:5" x14ac:dyDescent="0.2">
      <c r="A83" s="1">
        <v>45981</v>
      </c>
      <c r="B83" t="s">
        <v>921</v>
      </c>
      <c r="C83" t="s">
        <v>13</v>
      </c>
      <c r="D83" t="s">
        <v>920</v>
      </c>
      <c r="E83" s="26">
        <v>15</v>
      </c>
    </row>
    <row r="84" spans="1:5" x14ac:dyDescent="0.2">
      <c r="A84" s="1">
        <v>46013</v>
      </c>
      <c r="B84" t="s">
        <v>921</v>
      </c>
      <c r="C84" t="s">
        <v>13</v>
      </c>
      <c r="D84" t="s">
        <v>920</v>
      </c>
      <c r="E84" s="26">
        <v>15</v>
      </c>
    </row>
  </sheetData>
  <mergeCells count="5">
    <mergeCell ref="J9:K9"/>
    <mergeCell ref="J10:K10"/>
    <mergeCell ref="J11:K11"/>
    <mergeCell ref="J12:K12"/>
    <mergeCell ref="J13:K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3E1E-6CAF-E74C-9304-E8B32A25B03A}">
  <sheetPr codeName="Sheet9"/>
  <dimension ref="A1:L26"/>
  <sheetViews>
    <sheetView workbookViewId="0">
      <selection activeCell="C25" sqref="C25"/>
    </sheetView>
  </sheetViews>
  <sheetFormatPr baseColWidth="10" defaultRowHeight="16" x14ac:dyDescent="0.2"/>
  <cols>
    <col min="1" max="1" width="7.5" bestFit="1" customWidth="1"/>
    <col min="2" max="2" width="12.6640625" bestFit="1" customWidth="1"/>
    <col min="3" max="3" width="24.83203125" bestFit="1" customWidth="1"/>
    <col min="4" max="4" width="23.1640625" bestFit="1" customWidth="1"/>
    <col min="5" max="5" width="13.83203125" bestFit="1" customWidth="1"/>
    <col min="6" max="6" width="12.83203125" bestFit="1" customWidth="1"/>
    <col min="7" max="7" width="5.6640625" bestFit="1" customWidth="1"/>
    <col min="8" max="8" width="9.6640625" bestFit="1" customWidth="1"/>
    <col min="10" max="10" width="19.1640625" bestFit="1" customWidth="1"/>
    <col min="11" max="11" width="9" bestFit="1" customWidth="1"/>
    <col min="12" max="12" width="7.6640625" bestFit="1" customWidth="1"/>
    <col min="13" max="13" width="7.1640625" bestFit="1" customWidth="1"/>
    <col min="14" max="14" width="7.6640625" bestFit="1" customWidth="1"/>
  </cols>
  <sheetData>
    <row r="1" spans="1:12" x14ac:dyDescent="0.2">
      <c r="A1" s="5" t="s">
        <v>0</v>
      </c>
      <c r="B1" s="5" t="s">
        <v>82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5" t="s">
        <v>88</v>
      </c>
    </row>
    <row r="2" spans="1:12" x14ac:dyDescent="0.2">
      <c r="A2" s="1">
        <v>45299</v>
      </c>
      <c r="B2" t="s">
        <v>89</v>
      </c>
      <c r="C2" t="s">
        <v>90</v>
      </c>
      <c r="D2" t="s">
        <v>91</v>
      </c>
      <c r="E2" s="20">
        <v>45230</v>
      </c>
      <c r="F2" s="20">
        <v>45255</v>
      </c>
      <c r="G2">
        <v>25</v>
      </c>
      <c r="H2" s="19">
        <f t="shared" ref="H2:H26" si="0">G2*$K$3</f>
        <v>16.75</v>
      </c>
      <c r="J2" s="41" t="s">
        <v>135</v>
      </c>
      <c r="K2" s="41"/>
    </row>
    <row r="3" spans="1:12" x14ac:dyDescent="0.2">
      <c r="A3" s="1">
        <v>45303</v>
      </c>
      <c r="B3" t="s">
        <v>89</v>
      </c>
      <c r="C3" t="s">
        <v>92</v>
      </c>
      <c r="D3" t="s">
        <v>93</v>
      </c>
      <c r="E3" s="20">
        <v>45255</v>
      </c>
      <c r="F3" s="20">
        <v>45267</v>
      </c>
      <c r="G3">
        <v>12</v>
      </c>
      <c r="H3" s="19">
        <f t="shared" si="0"/>
        <v>8.0400000000000009</v>
      </c>
      <c r="J3" t="s">
        <v>136</v>
      </c>
      <c r="K3" s="29">
        <v>0.67</v>
      </c>
      <c r="L3" t="s">
        <v>137</v>
      </c>
    </row>
    <row r="4" spans="1:12" x14ac:dyDescent="0.2">
      <c r="A4" s="1">
        <v>45309</v>
      </c>
      <c r="B4" t="s">
        <v>89</v>
      </c>
      <c r="C4" t="s">
        <v>7</v>
      </c>
      <c r="D4" t="s">
        <v>94</v>
      </c>
      <c r="E4" s="20">
        <v>45267</v>
      </c>
      <c r="F4" s="20">
        <v>45275</v>
      </c>
      <c r="G4">
        <v>8</v>
      </c>
      <c r="H4" s="19">
        <f t="shared" si="0"/>
        <v>5.36</v>
      </c>
      <c r="J4" t="s">
        <v>138</v>
      </c>
      <c r="K4" s="8">
        <f>SUM(G:G)</f>
        <v>560</v>
      </c>
    </row>
    <row r="5" spans="1:12" x14ac:dyDescent="0.2">
      <c r="A5" s="1">
        <v>45316</v>
      </c>
      <c r="B5" t="s">
        <v>89</v>
      </c>
      <c r="C5" t="s">
        <v>95</v>
      </c>
      <c r="D5" t="s">
        <v>96</v>
      </c>
      <c r="E5" s="20">
        <v>45275</v>
      </c>
      <c r="F5" s="20">
        <v>45310</v>
      </c>
      <c r="G5">
        <v>35</v>
      </c>
      <c r="H5" s="19">
        <f t="shared" si="0"/>
        <v>23.450000000000003</v>
      </c>
      <c r="J5" t="s">
        <v>139</v>
      </c>
      <c r="K5" s="30">
        <f>SUM(H:H)</f>
        <v>375.2000000000001</v>
      </c>
    </row>
    <row r="6" spans="1:12" x14ac:dyDescent="0.2">
      <c r="A6" s="1">
        <v>45325</v>
      </c>
      <c r="B6" t="s">
        <v>89</v>
      </c>
      <c r="C6" t="s">
        <v>97</v>
      </c>
      <c r="D6" t="s">
        <v>98</v>
      </c>
      <c r="E6" s="20">
        <v>45310</v>
      </c>
      <c r="F6" s="20">
        <v>45328</v>
      </c>
      <c r="G6">
        <v>18</v>
      </c>
      <c r="H6" s="19">
        <f t="shared" si="0"/>
        <v>12.06</v>
      </c>
      <c r="J6" t="s">
        <v>140</v>
      </c>
      <c r="K6" s="8">
        <f>AVERAGE(G:G)</f>
        <v>22.4</v>
      </c>
    </row>
    <row r="7" spans="1:12" x14ac:dyDescent="0.2">
      <c r="A7" s="1">
        <v>45332</v>
      </c>
      <c r="B7" t="s">
        <v>89</v>
      </c>
      <c r="C7" t="s">
        <v>99</v>
      </c>
      <c r="D7" t="s">
        <v>100</v>
      </c>
      <c r="E7" s="20">
        <v>45328</v>
      </c>
      <c r="F7" s="20">
        <v>45345</v>
      </c>
      <c r="G7">
        <v>17</v>
      </c>
      <c r="H7" s="19">
        <f t="shared" si="0"/>
        <v>11.39</v>
      </c>
      <c r="J7" t="s">
        <v>141</v>
      </c>
      <c r="K7" s="8">
        <f>COUNTA(G:G)-1</f>
        <v>25</v>
      </c>
    </row>
    <row r="8" spans="1:12" x14ac:dyDescent="0.2">
      <c r="A8" s="1">
        <v>45339</v>
      </c>
      <c r="B8" t="s">
        <v>89</v>
      </c>
      <c r="C8" t="s">
        <v>66</v>
      </c>
      <c r="D8" t="s">
        <v>101</v>
      </c>
      <c r="E8" s="20">
        <v>45345</v>
      </c>
      <c r="F8" s="20">
        <v>45362</v>
      </c>
      <c r="G8">
        <v>17</v>
      </c>
      <c r="H8" s="19">
        <f t="shared" si="0"/>
        <v>11.39</v>
      </c>
    </row>
    <row r="9" spans="1:12" x14ac:dyDescent="0.2">
      <c r="A9" s="1">
        <v>45346</v>
      </c>
      <c r="B9" t="s">
        <v>89</v>
      </c>
      <c r="C9" t="s">
        <v>102</v>
      </c>
      <c r="D9" t="s">
        <v>103</v>
      </c>
      <c r="E9" s="20">
        <v>45362</v>
      </c>
      <c r="F9" s="20">
        <v>45380</v>
      </c>
      <c r="G9">
        <v>18</v>
      </c>
      <c r="H9" s="19">
        <f t="shared" si="0"/>
        <v>12.06</v>
      </c>
      <c r="J9" s="41" t="s">
        <v>142</v>
      </c>
      <c r="K9" s="41"/>
    </row>
    <row r="10" spans="1:12" x14ac:dyDescent="0.2">
      <c r="A10" s="1">
        <v>45356</v>
      </c>
      <c r="B10" t="s">
        <v>89</v>
      </c>
      <c r="C10" t="s">
        <v>104</v>
      </c>
      <c r="D10" t="s">
        <v>105</v>
      </c>
      <c r="E10" s="20">
        <v>45380</v>
      </c>
      <c r="F10" s="20">
        <v>45387</v>
      </c>
      <c r="G10">
        <v>7</v>
      </c>
      <c r="H10" s="19">
        <f t="shared" si="0"/>
        <v>4.6900000000000004</v>
      </c>
      <c r="J10">
        <f>F2-E2</f>
        <v>25</v>
      </c>
    </row>
    <row r="11" spans="1:12" x14ac:dyDescent="0.2">
      <c r="A11" s="1">
        <v>45363</v>
      </c>
      <c r="B11" t="s">
        <v>89</v>
      </c>
      <c r="C11" t="s">
        <v>106</v>
      </c>
      <c r="D11" t="s">
        <v>107</v>
      </c>
      <c r="E11" s="20">
        <v>45387</v>
      </c>
      <c r="F11" s="20">
        <v>45425</v>
      </c>
      <c r="G11">
        <v>38</v>
      </c>
      <c r="H11" s="19">
        <f t="shared" si="0"/>
        <v>25.46</v>
      </c>
    </row>
    <row r="12" spans="1:12" x14ac:dyDescent="0.2">
      <c r="A12" s="1">
        <v>45370</v>
      </c>
      <c r="B12" t="s">
        <v>89</v>
      </c>
      <c r="C12" t="s">
        <v>108</v>
      </c>
      <c r="D12" t="s">
        <v>109</v>
      </c>
      <c r="E12" s="20">
        <v>45425</v>
      </c>
      <c r="F12" s="20">
        <v>45448</v>
      </c>
      <c r="G12">
        <v>23</v>
      </c>
      <c r="H12" s="19">
        <f t="shared" si="0"/>
        <v>15.41</v>
      </c>
      <c r="J12" s="41" t="s">
        <v>143</v>
      </c>
      <c r="K12" s="41"/>
    </row>
    <row r="13" spans="1:12" x14ac:dyDescent="0.2">
      <c r="A13" s="1">
        <v>45377</v>
      </c>
      <c r="B13" t="s">
        <v>89</v>
      </c>
      <c r="C13" t="s">
        <v>110</v>
      </c>
      <c r="D13" t="s">
        <v>111</v>
      </c>
      <c r="E13" s="20">
        <v>45448</v>
      </c>
      <c r="F13" s="20">
        <v>45475</v>
      </c>
      <c r="G13">
        <v>27</v>
      </c>
      <c r="H13" s="19">
        <f t="shared" si="0"/>
        <v>18.09</v>
      </c>
      <c r="J13" s="19">
        <f>G2*K3</f>
        <v>16.75</v>
      </c>
    </row>
    <row r="14" spans="1:12" x14ac:dyDescent="0.2">
      <c r="A14" s="1">
        <v>45384</v>
      </c>
      <c r="B14" t="s">
        <v>89</v>
      </c>
      <c r="C14" t="s">
        <v>112</v>
      </c>
      <c r="D14" t="s">
        <v>113</v>
      </c>
      <c r="E14" s="20">
        <v>45475</v>
      </c>
      <c r="F14" s="20">
        <v>45492</v>
      </c>
      <c r="G14">
        <v>17</v>
      </c>
      <c r="H14" s="19">
        <f t="shared" si="0"/>
        <v>11.39</v>
      </c>
    </row>
    <row r="15" spans="1:12" x14ac:dyDescent="0.2">
      <c r="A15" s="1">
        <v>45391</v>
      </c>
      <c r="B15" t="s">
        <v>89</v>
      </c>
      <c r="C15" t="s">
        <v>34</v>
      </c>
      <c r="D15" t="s">
        <v>114</v>
      </c>
      <c r="E15" s="20">
        <v>45492</v>
      </c>
      <c r="F15" s="20">
        <v>45499</v>
      </c>
      <c r="G15">
        <v>7</v>
      </c>
      <c r="H15" s="19">
        <f t="shared" si="0"/>
        <v>4.6900000000000004</v>
      </c>
      <c r="J15" s="5" t="s">
        <v>144</v>
      </c>
    </row>
    <row r="16" spans="1:12" x14ac:dyDescent="0.2">
      <c r="A16" s="1">
        <v>45398</v>
      </c>
      <c r="B16" t="s">
        <v>89</v>
      </c>
      <c r="C16" t="s">
        <v>115</v>
      </c>
      <c r="D16" t="s">
        <v>116</v>
      </c>
      <c r="E16" s="20">
        <v>45499</v>
      </c>
      <c r="F16" s="20">
        <v>45534</v>
      </c>
      <c r="G16">
        <v>35</v>
      </c>
      <c r="H16" s="19">
        <f t="shared" si="0"/>
        <v>23.450000000000003</v>
      </c>
      <c r="J16" t="s">
        <v>145</v>
      </c>
      <c r="K16" s="19">
        <f>SUMIFS(H:H,A:A,"&gt;="&amp;DATE(2024,1,1),A:A,"&lt;"&amp;DATE(2024,4,1))</f>
        <v>164.15</v>
      </c>
    </row>
    <row r="17" spans="1:11" x14ac:dyDescent="0.2">
      <c r="A17" s="1">
        <v>45405</v>
      </c>
      <c r="B17" t="s">
        <v>89</v>
      </c>
      <c r="C17" t="s">
        <v>117</v>
      </c>
      <c r="D17" t="s">
        <v>118</v>
      </c>
      <c r="E17" s="20">
        <v>45534</v>
      </c>
      <c r="F17" s="20">
        <v>45549</v>
      </c>
      <c r="G17">
        <v>15</v>
      </c>
      <c r="H17" s="19">
        <f t="shared" si="0"/>
        <v>10.050000000000001</v>
      </c>
      <c r="J17" t="s">
        <v>150</v>
      </c>
      <c r="K17" s="19">
        <f>SUMIFS(H:H,A:A,"&gt;="&amp;DATE(2024,4,1),A:A,"&lt;"&amp;DATE(2024,7,1))</f>
        <v>211.05</v>
      </c>
    </row>
    <row r="18" spans="1:11" x14ac:dyDescent="0.2">
      <c r="A18" s="1">
        <v>45412</v>
      </c>
      <c r="B18" t="s">
        <v>89</v>
      </c>
      <c r="C18" t="s">
        <v>119</v>
      </c>
      <c r="D18" t="s">
        <v>120</v>
      </c>
      <c r="E18" s="20">
        <v>45549</v>
      </c>
      <c r="F18" s="20">
        <v>45566</v>
      </c>
      <c r="G18">
        <v>17</v>
      </c>
      <c r="H18" s="19">
        <f t="shared" si="0"/>
        <v>11.39</v>
      </c>
      <c r="J18" t="s">
        <v>151</v>
      </c>
      <c r="K18" s="19">
        <f>SUMIFS(H:H,A:A,"&gt;="&amp;DATE(2024,7,1),A:A,"&lt;"&amp;DATE(2024,10,1))</f>
        <v>0</v>
      </c>
    </row>
    <row r="19" spans="1:11" x14ac:dyDescent="0.2">
      <c r="A19" s="1">
        <v>45419</v>
      </c>
      <c r="B19" t="s">
        <v>89</v>
      </c>
      <c r="C19" t="s">
        <v>121</v>
      </c>
      <c r="D19" t="s">
        <v>122</v>
      </c>
      <c r="E19" s="20">
        <v>45566</v>
      </c>
      <c r="F19" s="20">
        <v>45588</v>
      </c>
      <c r="G19">
        <v>22</v>
      </c>
      <c r="H19" s="19">
        <f t="shared" si="0"/>
        <v>14.74</v>
      </c>
      <c r="J19" t="s">
        <v>152</v>
      </c>
      <c r="K19" s="19">
        <f>SUMIFS(H:H,A:A,"&gt;="&amp;DATE(2024,10,1),A:A,"&lt;"&amp;DATE(2025,1,1))</f>
        <v>0</v>
      </c>
    </row>
    <row r="20" spans="1:11" x14ac:dyDescent="0.2">
      <c r="A20" s="1">
        <v>45426</v>
      </c>
      <c r="B20" t="s">
        <v>89</v>
      </c>
      <c r="C20" t="s">
        <v>123</v>
      </c>
      <c r="D20" t="s">
        <v>107</v>
      </c>
      <c r="E20" s="20">
        <v>45588</v>
      </c>
      <c r="F20" s="20">
        <v>45635</v>
      </c>
      <c r="G20">
        <v>47</v>
      </c>
      <c r="H20" s="19">
        <f t="shared" si="0"/>
        <v>31.490000000000002</v>
      </c>
    </row>
    <row r="21" spans="1:11" x14ac:dyDescent="0.2">
      <c r="A21" s="1">
        <v>45433</v>
      </c>
      <c r="B21" t="s">
        <v>89</v>
      </c>
      <c r="C21" t="s">
        <v>124</v>
      </c>
      <c r="D21" t="s">
        <v>125</v>
      </c>
      <c r="E21" s="20">
        <v>45635</v>
      </c>
      <c r="F21" s="20">
        <v>45672</v>
      </c>
      <c r="G21">
        <v>37</v>
      </c>
      <c r="H21" s="19">
        <f t="shared" si="0"/>
        <v>24.790000000000003</v>
      </c>
    </row>
    <row r="22" spans="1:11" x14ac:dyDescent="0.2">
      <c r="A22" s="1">
        <v>45440</v>
      </c>
      <c r="B22" t="s">
        <v>89</v>
      </c>
      <c r="C22" t="s">
        <v>126</v>
      </c>
      <c r="D22" t="s">
        <v>127</v>
      </c>
      <c r="E22" s="20">
        <v>45672</v>
      </c>
      <c r="F22" s="20">
        <v>45695</v>
      </c>
      <c r="G22">
        <v>23</v>
      </c>
      <c r="H22" s="19">
        <f t="shared" si="0"/>
        <v>15.41</v>
      </c>
    </row>
    <row r="23" spans="1:11" x14ac:dyDescent="0.2">
      <c r="A23" s="1">
        <v>45447</v>
      </c>
      <c r="B23" t="s">
        <v>89</v>
      </c>
      <c r="C23" t="s">
        <v>128</v>
      </c>
      <c r="D23" t="s">
        <v>129</v>
      </c>
      <c r="E23" s="20">
        <v>45695</v>
      </c>
      <c r="F23" s="20">
        <v>45720</v>
      </c>
      <c r="G23">
        <v>25</v>
      </c>
      <c r="H23" s="19">
        <f t="shared" si="0"/>
        <v>16.75</v>
      </c>
    </row>
    <row r="24" spans="1:11" x14ac:dyDescent="0.2">
      <c r="A24" s="1">
        <v>45454</v>
      </c>
      <c r="B24" t="s">
        <v>89</v>
      </c>
      <c r="C24" t="s">
        <v>130</v>
      </c>
      <c r="D24" t="s">
        <v>131</v>
      </c>
      <c r="E24" s="20">
        <v>45720</v>
      </c>
      <c r="F24" s="20">
        <v>45735</v>
      </c>
      <c r="G24">
        <v>15</v>
      </c>
      <c r="H24" s="19">
        <f t="shared" si="0"/>
        <v>10.050000000000001</v>
      </c>
    </row>
    <row r="25" spans="1:11" x14ac:dyDescent="0.2">
      <c r="A25" s="1">
        <v>45461</v>
      </c>
      <c r="B25" t="s">
        <v>89</v>
      </c>
      <c r="C25" t="s">
        <v>79</v>
      </c>
      <c r="D25" t="s">
        <v>132</v>
      </c>
      <c r="E25" s="20">
        <v>45735</v>
      </c>
      <c r="F25" s="20">
        <v>45768</v>
      </c>
      <c r="G25">
        <v>33</v>
      </c>
      <c r="H25" s="19">
        <f t="shared" si="0"/>
        <v>22.110000000000003</v>
      </c>
    </row>
    <row r="26" spans="1:11" x14ac:dyDescent="0.2">
      <c r="A26" s="1">
        <v>45468</v>
      </c>
      <c r="B26" t="s">
        <v>89</v>
      </c>
      <c r="C26" t="s">
        <v>133</v>
      </c>
      <c r="D26" t="s">
        <v>134</v>
      </c>
      <c r="E26" s="20">
        <v>45768</v>
      </c>
      <c r="F26" s="20">
        <v>45790</v>
      </c>
      <c r="G26">
        <v>22</v>
      </c>
      <c r="H26" s="19">
        <f t="shared" si="0"/>
        <v>14.74</v>
      </c>
    </row>
  </sheetData>
  <mergeCells count="3">
    <mergeCell ref="J2:K2"/>
    <mergeCell ref="J9:K9"/>
    <mergeCell ref="J12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685800</xdr:colOff>
                    <xdr:row>22</xdr:row>
                    <xdr:rowOff>63500</xdr:rowOff>
                  </from>
                  <to>
                    <xdr:col>15</xdr:col>
                    <xdr:colOff>558800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Button4_Click">
                <anchor moveWithCells="1" sizeWithCells="1">
                  <from>
                    <xdr:col>9</xdr:col>
                    <xdr:colOff>673100</xdr:colOff>
                    <xdr:row>23</xdr:row>
                    <xdr:rowOff>50800</xdr:rowOff>
                  </from>
                  <to>
                    <xdr:col>11</xdr:col>
                    <xdr:colOff>546100</xdr:colOff>
                    <xdr:row>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Button3_Click">
                <anchor moveWithCells="1" sizeWithCells="1">
                  <from>
                    <xdr:col>9</xdr:col>
                    <xdr:colOff>368300</xdr:colOff>
                    <xdr:row>27</xdr:row>
                    <xdr:rowOff>177800</xdr:rowOff>
                  </from>
                  <to>
                    <xdr:col>11</xdr:col>
                    <xdr:colOff>241300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Button2_Click">
                <anchor moveWithCells="1" sizeWithCells="1">
                  <from>
                    <xdr:col>11</xdr:col>
                    <xdr:colOff>749300</xdr:colOff>
                    <xdr:row>19</xdr:row>
                    <xdr:rowOff>114300</xdr:rowOff>
                  </from>
                  <to>
                    <xdr:col>13</xdr:col>
                    <xdr:colOff>622300</xdr:colOff>
                    <xdr:row>21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E05D9-699B-3D43-9976-D0F02AEFDCAA}">
  <sheetPr codeName="Sheet10"/>
  <dimension ref="A1:P63"/>
  <sheetViews>
    <sheetView workbookViewId="0">
      <selection activeCell="H2" sqref="H2"/>
    </sheetView>
  </sheetViews>
  <sheetFormatPr baseColWidth="10" defaultRowHeight="16" x14ac:dyDescent="0.2"/>
  <cols>
    <col min="1" max="1" width="8.5" bestFit="1" customWidth="1"/>
    <col min="2" max="2" width="15.5" bestFit="1" customWidth="1"/>
    <col min="3" max="3" width="10.5" bestFit="1" customWidth="1"/>
    <col min="4" max="4" width="22.5" bestFit="1" customWidth="1"/>
    <col min="5" max="5" width="15" bestFit="1" customWidth="1"/>
    <col min="6" max="6" width="23.33203125" bestFit="1" customWidth="1"/>
    <col min="7" max="7" width="13.1640625" bestFit="1" customWidth="1"/>
    <col min="8" max="8" width="15.83203125" customWidth="1"/>
    <col min="9" max="9" width="12.83203125" customWidth="1"/>
    <col min="10" max="10" width="25.83203125" customWidth="1"/>
    <col min="11" max="11" width="7.33203125" bestFit="1" customWidth="1"/>
    <col min="12" max="12" width="8.5" bestFit="1" customWidth="1"/>
    <col min="13" max="13" width="44.6640625" bestFit="1" customWidth="1"/>
    <col min="14" max="14" width="19" customWidth="1"/>
  </cols>
  <sheetData>
    <row r="1" spans="1:16" x14ac:dyDescent="0.2">
      <c r="A1" s="5" t="s">
        <v>0</v>
      </c>
      <c r="B1" s="5" t="s">
        <v>487</v>
      </c>
      <c r="C1" s="5" t="s">
        <v>5</v>
      </c>
      <c r="D1" s="5" t="s">
        <v>3</v>
      </c>
      <c r="E1" s="5" t="s">
        <v>488</v>
      </c>
      <c r="F1" s="5" t="s">
        <v>489</v>
      </c>
      <c r="G1" s="5" t="s">
        <v>164</v>
      </c>
      <c r="H1" s="39" t="s">
        <v>932</v>
      </c>
      <c r="I1" s="39" t="s">
        <v>931</v>
      </c>
      <c r="J1" s="39" t="s">
        <v>930</v>
      </c>
    </row>
    <row r="2" spans="1:16" x14ac:dyDescent="0.2">
      <c r="A2" s="1">
        <v>45306</v>
      </c>
      <c r="B2" t="s">
        <v>7</v>
      </c>
      <c r="C2" s="19">
        <v>47.23</v>
      </c>
      <c r="D2" t="s">
        <v>159</v>
      </c>
      <c r="E2" t="s">
        <v>490</v>
      </c>
      <c r="F2" t="s">
        <v>8</v>
      </c>
      <c r="G2" t="s">
        <v>768</v>
      </c>
      <c r="H2" s="40" t="s">
        <v>933</v>
      </c>
      <c r="I2" s="43" t="s">
        <v>934</v>
      </c>
      <c r="J2" s="43"/>
      <c r="P2" s="5" t="s">
        <v>562</v>
      </c>
    </row>
    <row r="3" spans="1:16" x14ac:dyDescent="0.2">
      <c r="A3" s="1">
        <v>45309</v>
      </c>
      <c r="B3" t="s">
        <v>491</v>
      </c>
      <c r="C3" s="19">
        <v>45.67</v>
      </c>
      <c r="D3" t="s">
        <v>492</v>
      </c>
      <c r="E3" t="s">
        <v>493</v>
      </c>
      <c r="F3" t="s">
        <v>494</v>
      </c>
      <c r="G3" t="s">
        <v>768</v>
      </c>
      <c r="M3" t="s">
        <v>548</v>
      </c>
      <c r="N3">
        <f>COUNTA(A:A)-1</f>
        <v>36</v>
      </c>
      <c r="P3" t="s">
        <v>563</v>
      </c>
    </row>
    <row r="4" spans="1:16" x14ac:dyDescent="0.2">
      <c r="A4" s="1">
        <v>45313</v>
      </c>
      <c r="B4" t="s">
        <v>11</v>
      </c>
      <c r="C4" s="19">
        <v>52.99</v>
      </c>
      <c r="D4" t="s">
        <v>159</v>
      </c>
      <c r="E4" t="s">
        <v>495</v>
      </c>
      <c r="F4" t="s">
        <v>12</v>
      </c>
      <c r="G4" t="s">
        <v>768</v>
      </c>
      <c r="M4" t="s">
        <v>404</v>
      </c>
      <c r="N4">
        <f>COUNTIF(G:G,"✓ Filed")</f>
        <v>33</v>
      </c>
      <c r="P4" t="s">
        <v>564</v>
      </c>
    </row>
    <row r="5" spans="1:16" x14ac:dyDescent="0.2">
      <c r="A5" s="1">
        <v>45316</v>
      </c>
      <c r="B5" t="s">
        <v>496</v>
      </c>
      <c r="C5" s="19">
        <v>189</v>
      </c>
      <c r="D5" t="s">
        <v>497</v>
      </c>
      <c r="E5" t="s">
        <v>490</v>
      </c>
      <c r="F5" t="s">
        <v>498</v>
      </c>
      <c r="G5" t="s">
        <v>768</v>
      </c>
      <c r="M5" t="s">
        <v>405</v>
      </c>
      <c r="N5">
        <f>COUNTIF(G:G,"⚠ Missing")</f>
        <v>3</v>
      </c>
      <c r="P5" t="s">
        <v>565</v>
      </c>
    </row>
    <row r="6" spans="1:16" x14ac:dyDescent="0.2">
      <c r="A6" s="1">
        <v>45327</v>
      </c>
      <c r="B6" t="s">
        <v>14</v>
      </c>
      <c r="C6" s="19">
        <v>25</v>
      </c>
      <c r="D6" t="s">
        <v>159</v>
      </c>
      <c r="E6" t="s">
        <v>499</v>
      </c>
      <c r="F6" t="s">
        <v>500</v>
      </c>
      <c r="G6" t="s">
        <v>768</v>
      </c>
      <c r="M6" t="s">
        <v>549</v>
      </c>
      <c r="N6">
        <f>COUNTIF(E:E,"Digital Scan")+COUNTIF(E:E,"Email Receipt")+COUNTIF(E:E,"App Receipt")</f>
        <v>24</v>
      </c>
      <c r="P6" t="s">
        <v>566</v>
      </c>
    </row>
    <row r="7" spans="1:16" s="4" customFormat="1" x14ac:dyDescent="0.2">
      <c r="A7" s="3">
        <v>45332</v>
      </c>
      <c r="B7" s="4" t="s">
        <v>501</v>
      </c>
      <c r="C7" s="21">
        <v>15</v>
      </c>
      <c r="D7" s="4" t="s">
        <v>492</v>
      </c>
      <c r="E7" s="4" t="s">
        <v>502</v>
      </c>
      <c r="F7" s="4" t="s">
        <v>503</v>
      </c>
      <c r="G7" s="4" t="s">
        <v>769</v>
      </c>
      <c r="M7" s="4" t="s">
        <v>550</v>
      </c>
      <c r="N7" s="4">
        <f>COUNTIF(E:E,"Physical Receipt")</f>
        <v>9</v>
      </c>
      <c r="P7" s="4" t="s">
        <v>567</v>
      </c>
    </row>
    <row r="8" spans="1:16" x14ac:dyDescent="0.2">
      <c r="A8" s="1">
        <v>45336</v>
      </c>
      <c r="B8" t="s">
        <v>504</v>
      </c>
      <c r="C8" s="19">
        <v>78.45</v>
      </c>
      <c r="D8" t="s">
        <v>159</v>
      </c>
      <c r="E8" t="s">
        <v>493</v>
      </c>
      <c r="F8" t="s">
        <v>505</v>
      </c>
      <c r="G8" t="s">
        <v>768</v>
      </c>
      <c r="M8" t="s">
        <v>551</v>
      </c>
      <c r="N8">
        <f>COUNTIF(E:E,"Lost Receipt")</f>
        <v>3</v>
      </c>
      <c r="P8" t="s">
        <v>568</v>
      </c>
    </row>
    <row r="9" spans="1:16" x14ac:dyDescent="0.2">
      <c r="A9" s="1">
        <v>45342</v>
      </c>
      <c r="B9" t="s">
        <v>19</v>
      </c>
      <c r="C9" s="19">
        <v>23.67</v>
      </c>
      <c r="D9" t="s">
        <v>159</v>
      </c>
      <c r="E9" t="s">
        <v>495</v>
      </c>
      <c r="F9" t="s">
        <v>506</v>
      </c>
      <c r="G9" t="s">
        <v>768</v>
      </c>
    </row>
    <row r="10" spans="1:16" x14ac:dyDescent="0.2">
      <c r="A10" s="1">
        <v>45352</v>
      </c>
      <c r="B10" t="s">
        <v>22</v>
      </c>
      <c r="C10" s="19">
        <v>125</v>
      </c>
      <c r="D10" t="s">
        <v>159</v>
      </c>
      <c r="E10" t="s">
        <v>490</v>
      </c>
      <c r="F10" t="s">
        <v>23</v>
      </c>
      <c r="G10" t="s">
        <v>768</v>
      </c>
      <c r="M10" s="41" t="s">
        <v>552</v>
      </c>
      <c r="N10" s="41"/>
    </row>
    <row r="11" spans="1:16" x14ac:dyDescent="0.2">
      <c r="A11" s="1">
        <v>45361</v>
      </c>
      <c r="B11" t="s">
        <v>25</v>
      </c>
      <c r="C11" s="19">
        <v>199</v>
      </c>
      <c r="D11" t="s">
        <v>159</v>
      </c>
      <c r="E11" t="s">
        <v>499</v>
      </c>
      <c r="F11" t="s">
        <v>507</v>
      </c>
      <c r="G11" t="s">
        <v>768</v>
      </c>
      <c r="M11" t="s">
        <v>553</v>
      </c>
      <c r="N11" s="12">
        <f>N4/N3</f>
        <v>0.91666666666666663</v>
      </c>
    </row>
    <row r="12" spans="1:16" x14ac:dyDescent="0.2">
      <c r="A12" s="1">
        <v>45366</v>
      </c>
      <c r="B12" t="s">
        <v>28</v>
      </c>
      <c r="C12" s="19">
        <v>350</v>
      </c>
      <c r="D12" t="s">
        <v>159</v>
      </c>
      <c r="E12" t="s">
        <v>495</v>
      </c>
      <c r="F12" t="s">
        <v>508</v>
      </c>
      <c r="G12" t="s">
        <v>768</v>
      </c>
      <c r="M12" t="s">
        <v>554</v>
      </c>
      <c r="N12" t="str">
        <f>IF(N5&gt;0,"⚠️ "&amp;N5&amp;" receipts missing","✓ All receipts accounted for")</f>
        <v>⚠️ 3 receipts missing</v>
      </c>
    </row>
    <row r="13" spans="1:16" x14ac:dyDescent="0.2">
      <c r="A13" s="1">
        <v>45373</v>
      </c>
      <c r="B13" t="s">
        <v>509</v>
      </c>
      <c r="C13" s="19">
        <v>495</v>
      </c>
      <c r="D13" t="s">
        <v>159</v>
      </c>
      <c r="E13" t="s">
        <v>493</v>
      </c>
      <c r="F13" t="s">
        <v>510</v>
      </c>
      <c r="G13" t="s">
        <v>768</v>
      </c>
      <c r="M13" t="s">
        <v>555</v>
      </c>
      <c r="N13" t="str">
        <f>IF(N4&gt;0,"Contact vendors for duplicate receipts","No action required")</f>
        <v>Contact vendors for duplicate receipts</v>
      </c>
    </row>
    <row r="14" spans="1:16" x14ac:dyDescent="0.2">
      <c r="A14" s="1">
        <v>45385</v>
      </c>
      <c r="B14" t="s">
        <v>34</v>
      </c>
      <c r="C14" s="19">
        <v>234.56</v>
      </c>
      <c r="D14" t="s">
        <v>159</v>
      </c>
      <c r="E14" t="s">
        <v>490</v>
      </c>
      <c r="F14" t="s">
        <v>511</v>
      </c>
      <c r="G14" t="s">
        <v>768</v>
      </c>
    </row>
    <row r="15" spans="1:16" x14ac:dyDescent="0.2">
      <c r="A15" s="1">
        <v>45391</v>
      </c>
      <c r="B15" t="s">
        <v>512</v>
      </c>
      <c r="C15" s="19">
        <v>65.989999999999995</v>
      </c>
      <c r="D15" t="s">
        <v>492</v>
      </c>
      <c r="E15" t="s">
        <v>493</v>
      </c>
      <c r="F15" t="s">
        <v>513</v>
      </c>
      <c r="G15" t="s">
        <v>768</v>
      </c>
      <c r="M15" t="s">
        <v>556</v>
      </c>
    </row>
    <row r="16" spans="1:16" s="4" customFormat="1" x14ac:dyDescent="0.2">
      <c r="A16" s="3">
        <v>45398</v>
      </c>
      <c r="B16" s="4" t="s">
        <v>514</v>
      </c>
      <c r="C16" s="21">
        <v>45.5</v>
      </c>
      <c r="D16" s="4" t="s">
        <v>159</v>
      </c>
      <c r="E16" s="4" t="s">
        <v>502</v>
      </c>
      <c r="F16" s="4" t="s">
        <v>101</v>
      </c>
      <c r="G16" s="4" t="s">
        <v>769</v>
      </c>
      <c r="M16" s="4" t="s">
        <v>557</v>
      </c>
      <c r="N16" s="4">
        <f>COUNTIF(E:E,"Digital Scan")</f>
        <v>9</v>
      </c>
    </row>
    <row r="17" spans="1:14" x14ac:dyDescent="0.2">
      <c r="A17" s="1">
        <v>45400</v>
      </c>
      <c r="B17" t="s">
        <v>36</v>
      </c>
      <c r="C17" s="19">
        <v>14.99</v>
      </c>
      <c r="D17" t="s">
        <v>159</v>
      </c>
      <c r="E17" t="s">
        <v>495</v>
      </c>
      <c r="F17" t="s">
        <v>515</v>
      </c>
      <c r="G17" t="s">
        <v>768</v>
      </c>
      <c r="M17" t="s">
        <v>558</v>
      </c>
      <c r="N17">
        <f>COUNTIF(E:E,"Email Receipt")</f>
        <v>9</v>
      </c>
    </row>
    <row r="18" spans="1:14" x14ac:dyDescent="0.2">
      <c r="A18" s="1">
        <v>45407</v>
      </c>
      <c r="B18" t="s">
        <v>516</v>
      </c>
      <c r="C18" s="19">
        <v>156</v>
      </c>
      <c r="D18" t="s">
        <v>159</v>
      </c>
      <c r="E18" t="s">
        <v>490</v>
      </c>
      <c r="F18" t="s">
        <v>517</v>
      </c>
      <c r="G18" t="s">
        <v>768</v>
      </c>
      <c r="M18" t="s">
        <v>559</v>
      </c>
      <c r="N18">
        <f>COUNTIF(E:E,"Physical Receipt")</f>
        <v>9</v>
      </c>
    </row>
    <row r="19" spans="1:14" x14ac:dyDescent="0.2">
      <c r="A19" s="1">
        <v>45420</v>
      </c>
      <c r="B19" t="s">
        <v>518</v>
      </c>
      <c r="C19" s="19">
        <v>12</v>
      </c>
      <c r="D19" t="s">
        <v>159</v>
      </c>
      <c r="E19" t="s">
        <v>499</v>
      </c>
      <c r="F19" t="s">
        <v>519</v>
      </c>
      <c r="G19" t="s">
        <v>768</v>
      </c>
      <c r="M19" t="s">
        <v>560</v>
      </c>
      <c r="N19">
        <f>COUNTIF(E:E,"App Receipt")</f>
        <v>6</v>
      </c>
    </row>
    <row r="20" spans="1:14" x14ac:dyDescent="0.2">
      <c r="A20" s="1">
        <v>45426</v>
      </c>
      <c r="B20" t="s">
        <v>520</v>
      </c>
      <c r="C20" s="19">
        <v>75</v>
      </c>
      <c r="D20" t="s">
        <v>521</v>
      </c>
      <c r="E20" t="s">
        <v>493</v>
      </c>
      <c r="F20" t="s">
        <v>107</v>
      </c>
      <c r="G20" t="s">
        <v>768</v>
      </c>
      <c r="M20" t="s">
        <v>561</v>
      </c>
      <c r="N20">
        <f>COUNTIF(E:E,"Lost Receipt")</f>
        <v>3</v>
      </c>
    </row>
    <row r="21" spans="1:14" x14ac:dyDescent="0.2">
      <c r="A21" s="1">
        <v>45427</v>
      </c>
      <c r="B21" t="s">
        <v>44</v>
      </c>
      <c r="C21" s="19">
        <v>89.99</v>
      </c>
      <c r="D21" t="s">
        <v>522</v>
      </c>
      <c r="E21" t="s">
        <v>495</v>
      </c>
      <c r="F21" t="s">
        <v>523</v>
      </c>
      <c r="G21" t="s">
        <v>768</v>
      </c>
    </row>
    <row r="22" spans="1:14" x14ac:dyDescent="0.2">
      <c r="A22" s="1">
        <v>45432</v>
      </c>
      <c r="B22" t="s">
        <v>524</v>
      </c>
      <c r="C22" s="19">
        <v>125</v>
      </c>
      <c r="D22" t="s">
        <v>159</v>
      </c>
      <c r="E22" t="s">
        <v>490</v>
      </c>
      <c r="F22" t="s">
        <v>525</v>
      </c>
      <c r="G22" t="s">
        <v>768</v>
      </c>
    </row>
    <row r="23" spans="1:14" x14ac:dyDescent="0.2">
      <c r="A23" s="1">
        <v>45444</v>
      </c>
      <c r="B23" t="s">
        <v>526</v>
      </c>
      <c r="C23" s="19">
        <v>450</v>
      </c>
      <c r="D23" t="s">
        <v>159</v>
      </c>
      <c r="E23" t="s">
        <v>493</v>
      </c>
      <c r="F23" t="s">
        <v>527</v>
      </c>
      <c r="G23" t="s">
        <v>768</v>
      </c>
    </row>
    <row r="24" spans="1:14" x14ac:dyDescent="0.2">
      <c r="A24" s="1">
        <v>45455</v>
      </c>
      <c r="B24" t="s">
        <v>52</v>
      </c>
      <c r="C24" s="19">
        <v>156.78</v>
      </c>
      <c r="D24" t="s">
        <v>159</v>
      </c>
      <c r="E24" t="s">
        <v>499</v>
      </c>
      <c r="F24" t="s">
        <v>101</v>
      </c>
      <c r="G24" t="s">
        <v>768</v>
      </c>
      <c r="I24" s="27"/>
      <c r="J24" t="str">
        <f>IF(G2="⚠ Missing",B2,"")</f>
        <v/>
      </c>
      <c r="K24" t="str">
        <f>IF(G2="⚠ Missing",C2,"")</f>
        <v/>
      </c>
      <c r="L24" t="str">
        <f>IF(G2="⚠ Missing",D2,"")</f>
        <v/>
      </c>
    </row>
    <row r="25" spans="1:14" x14ac:dyDescent="0.2">
      <c r="A25" s="1">
        <v>45468</v>
      </c>
      <c r="B25" t="s">
        <v>54</v>
      </c>
      <c r="C25" s="19">
        <v>22</v>
      </c>
      <c r="D25" t="s">
        <v>159</v>
      </c>
      <c r="E25" t="s">
        <v>495</v>
      </c>
      <c r="F25" t="s">
        <v>528</v>
      </c>
      <c r="G25" t="s">
        <v>768</v>
      </c>
      <c r="J25" t="str">
        <f>IF(G3="⚠ Missing",B3,"")</f>
        <v/>
      </c>
      <c r="K25" t="str">
        <f>IF(G3="⚠ Missing",C3,"")</f>
        <v/>
      </c>
      <c r="L25" t="str">
        <f>IF(G3="⚠ Missing",D3,"")</f>
        <v/>
      </c>
    </row>
    <row r="26" spans="1:14" x14ac:dyDescent="0.2">
      <c r="A26" s="1">
        <v>45477</v>
      </c>
      <c r="B26" t="s">
        <v>340</v>
      </c>
      <c r="C26" s="19">
        <v>95</v>
      </c>
      <c r="D26" t="s">
        <v>159</v>
      </c>
      <c r="E26" t="s">
        <v>490</v>
      </c>
      <c r="F26" t="s">
        <v>529</v>
      </c>
      <c r="G26" t="s">
        <v>768</v>
      </c>
      <c r="J26" t="str">
        <f>IF(G4="⚠ Missing",B4,"")</f>
        <v/>
      </c>
      <c r="K26" t="str">
        <f>IF(G4="⚠ Missing",C4,"")</f>
        <v/>
      </c>
      <c r="L26" t="str">
        <f>IF(G4="⚠ Missing",D4,"")</f>
        <v/>
      </c>
    </row>
    <row r="27" spans="1:14" x14ac:dyDescent="0.2">
      <c r="A27" s="1">
        <v>45491</v>
      </c>
      <c r="B27" t="s">
        <v>530</v>
      </c>
      <c r="C27" s="19">
        <v>39.99</v>
      </c>
      <c r="D27" t="s">
        <v>159</v>
      </c>
      <c r="E27" t="s">
        <v>493</v>
      </c>
      <c r="F27" t="s">
        <v>531</v>
      </c>
      <c r="G27" t="s">
        <v>768</v>
      </c>
    </row>
    <row r="28" spans="1:14" x14ac:dyDescent="0.2">
      <c r="A28" s="1">
        <v>45509</v>
      </c>
      <c r="B28" t="s">
        <v>60</v>
      </c>
      <c r="C28" s="19">
        <v>45</v>
      </c>
      <c r="D28" t="s">
        <v>159</v>
      </c>
      <c r="E28" t="s">
        <v>495</v>
      </c>
      <c r="F28" t="s">
        <v>532</v>
      </c>
      <c r="G28" t="s">
        <v>768</v>
      </c>
    </row>
    <row r="29" spans="1:14" x14ac:dyDescent="0.2">
      <c r="A29" s="1">
        <v>45524</v>
      </c>
      <c r="B29" t="s">
        <v>533</v>
      </c>
      <c r="C29" s="19">
        <v>1299</v>
      </c>
      <c r="D29" t="s">
        <v>159</v>
      </c>
      <c r="E29" t="s">
        <v>490</v>
      </c>
      <c r="F29" t="s">
        <v>534</v>
      </c>
      <c r="G29" t="s">
        <v>768</v>
      </c>
    </row>
    <row r="30" spans="1:14" x14ac:dyDescent="0.2">
      <c r="A30" s="1">
        <v>45538</v>
      </c>
      <c r="B30" t="s">
        <v>260</v>
      </c>
      <c r="C30" s="19">
        <v>275</v>
      </c>
      <c r="D30" t="s">
        <v>159</v>
      </c>
      <c r="E30" t="s">
        <v>499</v>
      </c>
      <c r="F30" t="s">
        <v>535</v>
      </c>
      <c r="G30" t="s">
        <v>768</v>
      </c>
    </row>
    <row r="31" spans="1:14" s="4" customFormat="1" x14ac:dyDescent="0.2">
      <c r="A31" s="3">
        <v>45550</v>
      </c>
      <c r="B31" s="4" t="s">
        <v>536</v>
      </c>
      <c r="C31" s="21">
        <v>85</v>
      </c>
      <c r="D31" s="4" t="s">
        <v>159</v>
      </c>
      <c r="E31" s="4" t="s">
        <v>502</v>
      </c>
      <c r="F31" s="4" t="s">
        <v>537</v>
      </c>
      <c r="G31" s="4" t="s">
        <v>769</v>
      </c>
    </row>
    <row r="32" spans="1:14" x14ac:dyDescent="0.2">
      <c r="A32" s="1">
        <v>45566</v>
      </c>
      <c r="B32" t="s">
        <v>538</v>
      </c>
      <c r="C32" s="19">
        <v>67.5</v>
      </c>
      <c r="D32" t="s">
        <v>159</v>
      </c>
      <c r="E32" t="s">
        <v>493</v>
      </c>
      <c r="F32" t="s">
        <v>539</v>
      </c>
      <c r="G32" t="s">
        <v>768</v>
      </c>
    </row>
    <row r="33" spans="1:7" x14ac:dyDescent="0.2">
      <c r="A33" s="1">
        <v>45577</v>
      </c>
      <c r="B33" t="s">
        <v>540</v>
      </c>
      <c r="C33" s="19">
        <v>156</v>
      </c>
      <c r="D33" t="s">
        <v>159</v>
      </c>
      <c r="E33" t="s">
        <v>495</v>
      </c>
      <c r="F33" t="s">
        <v>541</v>
      </c>
      <c r="G33" t="s">
        <v>768</v>
      </c>
    </row>
    <row r="34" spans="1:7" x14ac:dyDescent="0.2">
      <c r="A34" s="1">
        <v>45601</v>
      </c>
      <c r="B34" t="s">
        <v>72</v>
      </c>
      <c r="C34" s="19">
        <v>199</v>
      </c>
      <c r="D34" t="s">
        <v>159</v>
      </c>
      <c r="E34" t="s">
        <v>490</v>
      </c>
      <c r="F34" t="s">
        <v>542</v>
      </c>
      <c r="G34" t="s">
        <v>768</v>
      </c>
    </row>
    <row r="35" spans="1:7" x14ac:dyDescent="0.2">
      <c r="A35" s="1">
        <v>45614</v>
      </c>
      <c r="B35" t="s">
        <v>543</v>
      </c>
      <c r="C35" s="19">
        <v>245</v>
      </c>
      <c r="D35" t="s">
        <v>159</v>
      </c>
      <c r="E35" t="s">
        <v>499</v>
      </c>
      <c r="F35" t="s">
        <v>544</v>
      </c>
      <c r="G35" t="s">
        <v>768</v>
      </c>
    </row>
    <row r="36" spans="1:7" x14ac:dyDescent="0.2">
      <c r="A36" s="1">
        <v>45629</v>
      </c>
      <c r="B36" t="s">
        <v>9</v>
      </c>
      <c r="C36" s="19">
        <v>189.45</v>
      </c>
      <c r="D36" t="s">
        <v>159</v>
      </c>
      <c r="E36" t="s">
        <v>493</v>
      </c>
      <c r="F36" t="s">
        <v>545</v>
      </c>
      <c r="G36" t="s">
        <v>768</v>
      </c>
    </row>
    <row r="37" spans="1:7" x14ac:dyDescent="0.2">
      <c r="A37" s="1">
        <v>45641</v>
      </c>
      <c r="B37" t="s">
        <v>546</v>
      </c>
      <c r="C37" s="19">
        <v>295</v>
      </c>
      <c r="D37" t="s">
        <v>159</v>
      </c>
      <c r="E37" t="s">
        <v>495</v>
      </c>
      <c r="F37" t="s">
        <v>547</v>
      </c>
      <c r="G37" t="s">
        <v>768</v>
      </c>
    </row>
    <row r="60" spans="1:7" x14ac:dyDescent="0.2">
      <c r="E60" t="s">
        <v>489</v>
      </c>
    </row>
    <row r="61" spans="1:7" x14ac:dyDescent="0.2">
      <c r="A61" s="4"/>
      <c r="B61" s="4"/>
      <c r="C61" s="4"/>
      <c r="D61" s="4"/>
      <c r="E61" s="4" t="str">
        <f>IF(G2="⚠ Missing",F2,"")</f>
        <v/>
      </c>
      <c r="F61" s="4"/>
      <c r="G61" s="4"/>
    </row>
    <row r="62" spans="1:7" x14ac:dyDescent="0.2">
      <c r="A62" s="4"/>
      <c r="B62" s="4"/>
      <c r="C62" s="4"/>
      <c r="D62" s="4"/>
      <c r="E62" s="4" t="str">
        <f>IF(G3="⚠ Missing",F3,"")</f>
        <v/>
      </c>
      <c r="F62" s="4"/>
      <c r="G62" s="4"/>
    </row>
    <row r="63" spans="1:7" x14ac:dyDescent="0.2">
      <c r="A63" s="4"/>
      <c r="B63" s="4"/>
      <c r="C63" s="4"/>
      <c r="D63" s="4"/>
      <c r="E63" s="4" t="str">
        <f>IF(G4="⚠ Missing",F4,"")</f>
        <v/>
      </c>
      <c r="F63" s="4"/>
      <c r="G63" s="4"/>
    </row>
  </sheetData>
  <mergeCells count="2">
    <mergeCell ref="I2:J2"/>
    <mergeCell ref="M10:N10"/>
  </mergeCells>
  <dataValidations count="1">
    <dataValidation type="list" allowBlank="1" showInputMessage="1" showErrorMessage="1" sqref="I24:I1000 I2 M3:M23" xr:uid="{C277BE95-EB3A-E047-BFBF-A33F4A597667}">
      <formula1>"Found,Missing,Pending,Manual Link"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1E22-E732-1D41-A415-DE3162DE9410}">
  <sheetPr codeName="Sheet11"/>
  <dimension ref="A1:BD103"/>
  <sheetViews>
    <sheetView topLeftCell="AQ79" zoomScale="132" zoomScaleNormal="132" workbookViewId="0">
      <selection activeCell="AV89" sqref="AV89"/>
    </sheetView>
  </sheetViews>
  <sheetFormatPr baseColWidth="10" defaultRowHeight="16" x14ac:dyDescent="0.2"/>
  <cols>
    <col min="1" max="1" width="46.1640625" bestFit="1" customWidth="1"/>
    <col min="2" max="2" width="19.83203125" bestFit="1" customWidth="1"/>
    <col min="3" max="3" width="29.1640625" bestFit="1" customWidth="1"/>
    <col min="4" max="4" width="13.1640625" bestFit="1" customWidth="1"/>
    <col min="5" max="5" width="7.6640625" bestFit="1" customWidth="1"/>
    <col min="6" max="6" width="9.83203125" bestFit="1" customWidth="1"/>
    <col min="7" max="7" width="20.5" bestFit="1" customWidth="1"/>
    <col min="8" max="8" width="12.1640625" bestFit="1" customWidth="1"/>
    <col min="9" max="9" width="2.1640625" bestFit="1" customWidth="1"/>
    <col min="10" max="10" width="3.5" bestFit="1" customWidth="1"/>
    <col min="11" max="11" width="23.33203125" bestFit="1" customWidth="1"/>
    <col min="12" max="12" width="15.33203125" bestFit="1" customWidth="1"/>
    <col min="13" max="13" width="13.1640625" bestFit="1" customWidth="1"/>
    <col min="14" max="14" width="2.1640625" bestFit="1" customWidth="1"/>
    <col min="15" max="15" width="2.83203125" bestFit="1" customWidth="1"/>
    <col min="16" max="16" width="15.33203125" bestFit="1" customWidth="1"/>
    <col min="17" max="17" width="12.1640625" bestFit="1" customWidth="1"/>
    <col min="18" max="18" width="2.1640625" bestFit="1" customWidth="1"/>
    <col min="19" max="19" width="3.5" bestFit="1" customWidth="1"/>
    <col min="20" max="20" width="26.6640625" bestFit="1" customWidth="1"/>
    <col min="21" max="21" width="18.1640625" bestFit="1" customWidth="1"/>
    <col min="22" max="22" width="13.1640625" bestFit="1" customWidth="1"/>
    <col min="23" max="23" width="2.1640625" bestFit="1" customWidth="1"/>
    <col min="24" max="24" width="2.83203125" bestFit="1" customWidth="1"/>
    <col min="25" max="25" width="18.1640625" bestFit="1" customWidth="1"/>
    <col min="26" max="26" width="12.1640625" bestFit="1" customWidth="1"/>
    <col min="27" max="27" width="2.1640625" bestFit="1" customWidth="1"/>
    <col min="28" max="28" width="3.5" bestFit="1" customWidth="1"/>
    <col min="29" max="29" width="27.1640625" bestFit="1" customWidth="1"/>
    <col min="30" max="30" width="19.1640625" bestFit="1" customWidth="1"/>
    <col min="31" max="31" width="13.1640625" bestFit="1" customWidth="1"/>
    <col min="32" max="32" width="2.1640625" bestFit="1" customWidth="1"/>
    <col min="33" max="33" width="2.83203125" bestFit="1" customWidth="1"/>
    <col min="34" max="34" width="19.1640625" bestFit="1" customWidth="1"/>
    <col min="35" max="35" width="12.1640625" bestFit="1" customWidth="1"/>
    <col min="36" max="36" width="2.1640625" bestFit="1" customWidth="1"/>
    <col min="37" max="37" width="3.5" bestFit="1" customWidth="1"/>
    <col min="38" max="38" width="33.6640625" bestFit="1" customWidth="1"/>
    <col min="39" max="39" width="25.5" bestFit="1" customWidth="1"/>
    <col min="40" max="40" width="13.1640625" bestFit="1" customWidth="1"/>
    <col min="41" max="41" width="2.1640625" bestFit="1" customWidth="1"/>
    <col min="42" max="42" width="2.83203125" bestFit="1" customWidth="1"/>
    <col min="43" max="43" width="25.5" bestFit="1" customWidth="1"/>
    <col min="44" max="44" width="12.1640625" bestFit="1" customWidth="1"/>
    <col min="45" max="45" width="2.1640625" bestFit="1" customWidth="1"/>
    <col min="46" max="46" width="3.5" bestFit="1" customWidth="1"/>
    <col min="47" max="47" width="34.6640625" bestFit="1" customWidth="1"/>
    <col min="48" max="48" width="26.83203125" bestFit="1" customWidth="1"/>
    <col min="49" max="49" width="13.1640625" bestFit="1" customWidth="1"/>
    <col min="50" max="50" width="2.1640625" bestFit="1" customWidth="1"/>
    <col min="51" max="51" width="2.83203125" bestFit="1" customWidth="1"/>
    <col min="52" max="52" width="26.83203125" bestFit="1" customWidth="1"/>
    <col min="53" max="53" width="12.1640625" bestFit="1" customWidth="1"/>
    <col min="54" max="54" width="2.1640625" bestFit="1" customWidth="1"/>
    <col min="55" max="55" width="3.5" bestFit="1" customWidth="1"/>
    <col min="56" max="56" width="6" bestFit="1" customWidth="1"/>
  </cols>
  <sheetData>
    <row r="1" spans="1:3" x14ac:dyDescent="0.2">
      <c r="A1" t="s">
        <v>569</v>
      </c>
    </row>
    <row r="2" spans="1:3" x14ac:dyDescent="0.2">
      <c r="A2" t="s">
        <v>570</v>
      </c>
    </row>
    <row r="4" spans="1:3" x14ac:dyDescent="0.2">
      <c r="A4" t="s">
        <v>571</v>
      </c>
    </row>
    <row r="5" spans="1:3" x14ac:dyDescent="0.2">
      <c r="A5" t="s">
        <v>572</v>
      </c>
      <c r="B5" t="s">
        <v>573</v>
      </c>
    </row>
    <row r="6" spans="1:3" x14ac:dyDescent="0.2">
      <c r="A6" t="s">
        <v>154</v>
      </c>
      <c r="B6" t="s">
        <v>573</v>
      </c>
    </row>
    <row r="7" spans="1:3" x14ac:dyDescent="0.2">
      <c r="A7" t="s">
        <v>155</v>
      </c>
      <c r="B7" t="s">
        <v>573</v>
      </c>
    </row>
    <row r="8" spans="1:3" x14ac:dyDescent="0.2">
      <c r="A8" t="s">
        <v>574</v>
      </c>
      <c r="B8" t="s">
        <v>575</v>
      </c>
    </row>
    <row r="10" spans="1:3" x14ac:dyDescent="0.2">
      <c r="A10" t="s">
        <v>576</v>
      </c>
    </row>
    <row r="11" spans="1:3" x14ac:dyDescent="0.2">
      <c r="A11" t="s">
        <v>577</v>
      </c>
      <c r="B11" s="19">
        <f>MAX(0,'Medical &amp; Health'!I9)</f>
        <v>5625</v>
      </c>
      <c r="C11" t="s">
        <v>578</v>
      </c>
    </row>
    <row r="12" spans="1:3" x14ac:dyDescent="0.2">
      <c r="A12" t="s">
        <v>579</v>
      </c>
      <c r="B12" s="19">
        <v>0</v>
      </c>
      <c r="C12" t="s">
        <v>580</v>
      </c>
    </row>
    <row r="13" spans="1:3" x14ac:dyDescent="0.2">
      <c r="A13" t="s">
        <v>581</v>
      </c>
      <c r="B13" s="19">
        <v>0</v>
      </c>
      <c r="C13" t="s">
        <v>582</v>
      </c>
    </row>
    <row r="14" spans="1:3" x14ac:dyDescent="0.2">
      <c r="A14" t="s">
        <v>583</v>
      </c>
      <c r="B14" s="19">
        <f>'Charitable Contributions'!M19</f>
        <v>11731.5</v>
      </c>
      <c r="C14" t="s">
        <v>584</v>
      </c>
    </row>
    <row r="15" spans="1:3" x14ac:dyDescent="0.2">
      <c r="A15" t="s">
        <v>585</v>
      </c>
      <c r="B15" s="19">
        <v>0</v>
      </c>
      <c r="C15" t="s">
        <v>586</v>
      </c>
    </row>
    <row r="16" spans="1:3" x14ac:dyDescent="0.2">
      <c r="A16" t="s">
        <v>587</v>
      </c>
      <c r="B16" s="19">
        <f>B11+B12+B13+B14+B15</f>
        <v>17356.5</v>
      </c>
    </row>
    <row r="17" spans="1:3" x14ac:dyDescent="0.2">
      <c r="A17" t="s">
        <v>588</v>
      </c>
      <c r="B17" s="19">
        <v>14600</v>
      </c>
      <c r="C17" t="s">
        <v>589</v>
      </c>
    </row>
    <row r="18" spans="1:3" x14ac:dyDescent="0.2">
      <c r="A18" t="s">
        <v>590</v>
      </c>
      <c r="B18" s="19">
        <f>MAX(B16,B17)</f>
        <v>17356.5</v>
      </c>
      <c r="C18" t="s">
        <v>591</v>
      </c>
    </row>
    <row r="20" spans="1:3" x14ac:dyDescent="0.2">
      <c r="A20" t="s">
        <v>592</v>
      </c>
    </row>
    <row r="21" spans="1:3" x14ac:dyDescent="0.2">
      <c r="A21" t="s">
        <v>593</v>
      </c>
      <c r="B21" s="19">
        <f>'Business Expenses'!J27</f>
        <v>17875.119999999995</v>
      </c>
    </row>
    <row r="22" spans="1:3" x14ac:dyDescent="0.2">
      <c r="A22" t="s">
        <v>594</v>
      </c>
      <c r="B22" s="19">
        <f>'Home Office'!H16</f>
        <v>1250</v>
      </c>
      <c r="C22" t="s">
        <v>595</v>
      </c>
    </row>
    <row r="23" spans="1:3" x14ac:dyDescent="0.2">
      <c r="A23" t="s">
        <v>596</v>
      </c>
      <c r="B23" s="19">
        <f>'Vehicle &amp; Travel'!J8</f>
        <v>1273.0700000000002</v>
      </c>
    </row>
    <row r="24" spans="1:3" x14ac:dyDescent="0.2">
      <c r="B24" s="19"/>
    </row>
    <row r="25" spans="1:3" x14ac:dyDescent="0.2">
      <c r="A25" t="s">
        <v>597</v>
      </c>
      <c r="B25" s="19">
        <f>'Investment &amp; Financial'!H12</f>
        <v>10791.949999999999</v>
      </c>
      <c r="C25" t="s">
        <v>586</v>
      </c>
    </row>
    <row r="26" spans="1:3" x14ac:dyDescent="0.2">
      <c r="A26" t="s">
        <v>598</v>
      </c>
      <c r="B26" s="19">
        <f>B21+B22+B23+B24+B25</f>
        <v>31190.139999999992</v>
      </c>
    </row>
    <row r="28" spans="1:3" x14ac:dyDescent="0.2">
      <c r="A28" t="s">
        <v>599</v>
      </c>
    </row>
    <row r="29" spans="1:3" x14ac:dyDescent="0.2">
      <c r="A29" t="s">
        <v>600</v>
      </c>
      <c r="B29" s="19">
        <v>0</v>
      </c>
      <c r="C29" t="s">
        <v>601</v>
      </c>
    </row>
    <row r="30" spans="1:3" x14ac:dyDescent="0.2">
      <c r="A30" t="s">
        <v>602</v>
      </c>
      <c r="B30" s="19">
        <f>B26</f>
        <v>31190.139999999992</v>
      </c>
    </row>
    <row r="31" spans="1:3" x14ac:dyDescent="0.2">
      <c r="A31" t="s">
        <v>603</v>
      </c>
      <c r="B31" s="19">
        <f>B28-B29</f>
        <v>0</v>
      </c>
      <c r="C31" t="s">
        <v>604</v>
      </c>
    </row>
    <row r="33" spans="1:3" x14ac:dyDescent="0.2">
      <c r="A33" t="s">
        <v>605</v>
      </c>
    </row>
    <row r="34" spans="1:3" x14ac:dyDescent="0.2">
      <c r="A34" t="s">
        <v>606</v>
      </c>
      <c r="B34" s="19">
        <f>B30</f>
        <v>31190.139999999992</v>
      </c>
    </row>
    <row r="35" spans="1:3" x14ac:dyDescent="0.2">
      <c r="A35" t="s">
        <v>607</v>
      </c>
      <c r="B35" s="19">
        <v>0</v>
      </c>
      <c r="C35" t="s">
        <v>879</v>
      </c>
    </row>
    <row r="36" spans="1:3" x14ac:dyDescent="0.2">
      <c r="A36" t="s">
        <v>608</v>
      </c>
      <c r="B36" s="19">
        <f>B33+B34</f>
        <v>31190.139999999992</v>
      </c>
    </row>
    <row r="37" spans="1:3" x14ac:dyDescent="0.2">
      <c r="A37" t="s">
        <v>609</v>
      </c>
      <c r="B37" s="19">
        <f>B18</f>
        <v>17356.5</v>
      </c>
    </row>
    <row r="38" spans="1:3" x14ac:dyDescent="0.2">
      <c r="A38" t="s">
        <v>610</v>
      </c>
      <c r="B38" s="19">
        <f>B35-B36</f>
        <v>-31190.139999999992</v>
      </c>
    </row>
    <row r="40" spans="1:3" x14ac:dyDescent="0.2">
      <c r="A40" t="s">
        <v>611</v>
      </c>
    </row>
    <row r="41" spans="1:3" x14ac:dyDescent="0.2">
      <c r="A41" t="s">
        <v>612</v>
      </c>
      <c r="B41" s="19">
        <f>'Executive Dashboard'!E6</f>
        <v>38119.94000000001</v>
      </c>
    </row>
    <row r="42" spans="1:3" x14ac:dyDescent="0.2">
      <c r="A42" t="s">
        <v>613</v>
      </c>
      <c r="B42" s="2">
        <v>0.22</v>
      </c>
      <c r="C42" t="s">
        <v>614</v>
      </c>
    </row>
    <row r="43" spans="1:3" x14ac:dyDescent="0.2">
      <c r="A43" t="s">
        <v>615</v>
      </c>
      <c r="B43" s="19">
        <f>B40*B41</f>
        <v>0</v>
      </c>
    </row>
    <row r="44" spans="1:3" x14ac:dyDescent="0.2">
      <c r="A44" t="s">
        <v>616</v>
      </c>
      <c r="B44" s="19">
        <f>B40*5%</f>
        <v>0</v>
      </c>
    </row>
    <row r="45" spans="1:3" x14ac:dyDescent="0.2">
      <c r="A45" t="s">
        <v>617</v>
      </c>
      <c r="B45" s="19">
        <f>B42+B43</f>
        <v>0.22</v>
      </c>
    </row>
    <row r="47" spans="1:3" x14ac:dyDescent="0.2">
      <c r="A47" t="s">
        <v>618</v>
      </c>
    </row>
    <row r="48" spans="1:3" x14ac:dyDescent="0.2">
      <c r="A48" t="s">
        <v>619</v>
      </c>
      <c r="B48" s="19">
        <f>B37*B41</f>
        <v>661628738.61000013</v>
      </c>
    </row>
    <row r="49" spans="1:3" x14ac:dyDescent="0.2">
      <c r="A49" t="s">
        <v>620</v>
      </c>
      <c r="B49" s="19">
        <v>0</v>
      </c>
      <c r="C49" t="s">
        <v>621</v>
      </c>
    </row>
    <row r="50" spans="1:3" x14ac:dyDescent="0.2">
      <c r="A50" t="s">
        <v>622</v>
      </c>
      <c r="B50" s="19">
        <f>B47-B48</f>
        <v>-661628738.61000013</v>
      </c>
    </row>
    <row r="51" spans="1:3" x14ac:dyDescent="0.2">
      <c r="A51" t="s">
        <v>623</v>
      </c>
      <c r="B51" s="19">
        <f>B47/4</f>
        <v>0</v>
      </c>
      <c r="C51" t="s">
        <v>624</v>
      </c>
    </row>
    <row r="53" spans="1:3" x14ac:dyDescent="0.2">
      <c r="A53" t="s">
        <v>625</v>
      </c>
    </row>
    <row r="54" spans="1:3" x14ac:dyDescent="0.2">
      <c r="A54" t="s">
        <v>626</v>
      </c>
      <c r="B54" s="19">
        <v>0</v>
      </c>
      <c r="C54" t="s">
        <v>627</v>
      </c>
    </row>
    <row r="55" spans="1:3" x14ac:dyDescent="0.2">
      <c r="A55" t="s">
        <v>628</v>
      </c>
      <c r="B55" s="19">
        <v>0</v>
      </c>
      <c r="C55" t="s">
        <v>629</v>
      </c>
    </row>
    <row r="56" spans="1:3" x14ac:dyDescent="0.2">
      <c r="A56" t="s">
        <v>630</v>
      </c>
      <c r="B56" s="19">
        <v>0</v>
      </c>
      <c r="C56" t="s">
        <v>629</v>
      </c>
    </row>
    <row r="57" spans="1:3" x14ac:dyDescent="0.2">
      <c r="A57" t="s">
        <v>631</v>
      </c>
      <c r="B57" s="19">
        <f>B53+B54+B55</f>
        <v>0</v>
      </c>
    </row>
    <row r="59" spans="1:3" x14ac:dyDescent="0.2">
      <c r="A59" t="s">
        <v>632</v>
      </c>
    </row>
    <row r="60" spans="1:3" x14ac:dyDescent="0.2">
      <c r="A60" t="s">
        <v>633</v>
      </c>
      <c r="B60" s="19">
        <f>'Charitable Contributions'!B41</f>
        <v>0</v>
      </c>
      <c r="C60" t="s">
        <v>634</v>
      </c>
    </row>
    <row r="61" spans="1:3" x14ac:dyDescent="0.2">
      <c r="A61" t="s">
        <v>635</v>
      </c>
      <c r="B61" s="19">
        <v>0</v>
      </c>
      <c r="C61" t="s">
        <v>636</v>
      </c>
    </row>
    <row r="62" spans="1:3" x14ac:dyDescent="0.2">
      <c r="A62" t="s">
        <v>637</v>
      </c>
      <c r="B62" s="19">
        <v>0</v>
      </c>
      <c r="C62" t="s">
        <v>638</v>
      </c>
    </row>
    <row r="64" spans="1:3" x14ac:dyDescent="0.2">
      <c r="A64" t="s">
        <v>639</v>
      </c>
    </row>
    <row r="65" spans="1:2" x14ac:dyDescent="0.2">
      <c r="A65" t="s">
        <v>640</v>
      </c>
      <c r="B65">
        <f>'Receipt Tracker'!N3</f>
        <v>36</v>
      </c>
    </row>
    <row r="66" spans="1:2" x14ac:dyDescent="0.2">
      <c r="A66" t="s">
        <v>404</v>
      </c>
      <c r="B66">
        <f>'Receipt Tracker'!N4</f>
        <v>33</v>
      </c>
    </row>
    <row r="67" spans="1:2" x14ac:dyDescent="0.2">
      <c r="A67" t="s">
        <v>405</v>
      </c>
      <c r="B67">
        <f>'Receipt Tracker'!N5</f>
        <v>3</v>
      </c>
    </row>
    <row r="68" spans="1:2" x14ac:dyDescent="0.2">
      <c r="A68" t="s">
        <v>641</v>
      </c>
      <c r="B68">
        <f>'Receipt Tracker'!N6</f>
        <v>24</v>
      </c>
    </row>
    <row r="69" spans="1:2" x14ac:dyDescent="0.2">
      <c r="A69" t="s">
        <v>642</v>
      </c>
      <c r="B69">
        <f>'Receipt Tracker'!N7</f>
        <v>9</v>
      </c>
    </row>
    <row r="71" spans="1:2" x14ac:dyDescent="0.2">
      <c r="A71" t="s">
        <v>643</v>
      </c>
    </row>
    <row r="72" spans="1:2" x14ac:dyDescent="0.2">
      <c r="A72" t="s">
        <v>644</v>
      </c>
    </row>
    <row r="73" spans="1:2" x14ac:dyDescent="0.2">
      <c r="A73" t="s">
        <v>645</v>
      </c>
    </row>
    <row r="74" spans="1:2" x14ac:dyDescent="0.2">
      <c r="A74" t="s">
        <v>646</v>
      </c>
    </row>
    <row r="75" spans="1:2" x14ac:dyDescent="0.2">
      <c r="A75" t="s">
        <v>647</v>
      </c>
    </row>
    <row r="76" spans="1:2" x14ac:dyDescent="0.2">
      <c r="A76" t="s">
        <v>648</v>
      </c>
    </row>
    <row r="77" spans="1:2" x14ac:dyDescent="0.2">
      <c r="A77" t="s">
        <v>649</v>
      </c>
    </row>
    <row r="79" spans="1:2" x14ac:dyDescent="0.2">
      <c r="A79" t="s">
        <v>650</v>
      </c>
    </row>
    <row r="80" spans="1:2" x14ac:dyDescent="0.2">
      <c r="A80" t="s">
        <v>651</v>
      </c>
      <c r="B80" s="1">
        <v>45762</v>
      </c>
    </row>
    <row r="81" spans="1:56" x14ac:dyDescent="0.2">
      <c r="A81" t="s">
        <v>652</v>
      </c>
      <c r="B81" s="1">
        <v>45672</v>
      </c>
    </row>
    <row r="82" spans="1:56" x14ac:dyDescent="0.2">
      <c r="A82" t="s">
        <v>653</v>
      </c>
      <c r="B82" s="1">
        <v>45762</v>
      </c>
    </row>
    <row r="83" spans="1:56" x14ac:dyDescent="0.2">
      <c r="A83" t="s">
        <v>654</v>
      </c>
      <c r="B83" s="1">
        <v>45945</v>
      </c>
      <c r="C83" t="s">
        <v>655</v>
      </c>
    </row>
    <row r="85" spans="1:56" x14ac:dyDescent="0.2">
      <c r="A85" t="s">
        <v>656</v>
      </c>
    </row>
    <row r="86" spans="1:56" x14ac:dyDescent="0.2">
      <c r="A86" t="s">
        <v>168</v>
      </c>
      <c r="B86" t="s">
        <v>169</v>
      </c>
      <c r="C86" t="s">
        <v>89</v>
      </c>
      <c r="D86" t="s">
        <v>170</v>
      </c>
      <c r="E86" t="s">
        <v>171</v>
      </c>
      <c r="F86" t="s">
        <v>165</v>
      </c>
      <c r="H86" t="s">
        <v>172</v>
      </c>
    </row>
    <row r="87" spans="1:56" x14ac:dyDescent="0.2">
      <c r="A87" t="s">
        <v>657</v>
      </c>
      <c r="B87">
        <f>SUMIFS('Business Expenses'!F:F,'Business Expenses'!A:A,"&gt;="&amp;DATE(2024,1,1),'Business Expenses'!A:A,"&lt;"&amp;DATE(2024,2,1))</f>
        <v>100.22</v>
      </c>
      <c r="C87" t="s">
        <v>174</v>
      </c>
      <c r="D87" t="s">
        <v>146</v>
      </c>
      <c r="E87">
        <v>1</v>
      </c>
      <c r="F87" t="s">
        <v>147</v>
      </c>
      <c r="G87" t="s">
        <v>174</v>
      </c>
      <c r="H87" t="s">
        <v>148</v>
      </c>
      <c r="I87">
        <v>2</v>
      </c>
      <c r="J87" t="s">
        <v>149</v>
      </c>
      <c r="K87" t="s">
        <v>658</v>
      </c>
      <c r="L87" t="s">
        <v>659</v>
      </c>
      <c r="M87" t="s">
        <v>146</v>
      </c>
      <c r="N87">
        <v>1</v>
      </c>
      <c r="O87" t="s">
        <v>147</v>
      </c>
      <c r="P87" t="s">
        <v>659</v>
      </c>
      <c r="Q87" t="s">
        <v>148</v>
      </c>
      <c r="R87">
        <v>2</v>
      </c>
      <c r="S87" t="s">
        <v>149</v>
      </c>
      <c r="T87" t="s">
        <v>660</v>
      </c>
      <c r="U87" t="s">
        <v>661</v>
      </c>
      <c r="V87" t="s">
        <v>146</v>
      </c>
      <c r="W87">
        <v>1</v>
      </c>
      <c r="X87" t="s">
        <v>147</v>
      </c>
      <c r="Y87" t="s">
        <v>661</v>
      </c>
      <c r="Z87" t="s">
        <v>148</v>
      </c>
      <c r="AA87">
        <v>2</v>
      </c>
      <c r="AB87" t="s">
        <v>149</v>
      </c>
      <c r="AC87" t="s">
        <v>662</v>
      </c>
      <c r="AD87" t="s">
        <v>663</v>
      </c>
      <c r="AE87" t="s">
        <v>146</v>
      </c>
      <c r="AF87">
        <v>1</v>
      </c>
      <c r="AG87" t="s">
        <v>147</v>
      </c>
      <c r="AH87" t="s">
        <v>663</v>
      </c>
      <c r="AI87" t="s">
        <v>148</v>
      </c>
      <c r="AJ87">
        <v>2</v>
      </c>
      <c r="AK87" t="s">
        <v>149</v>
      </c>
      <c r="AL87" t="s">
        <v>664</v>
      </c>
      <c r="AM87" t="s">
        <v>665</v>
      </c>
      <c r="AN87" t="s">
        <v>146</v>
      </c>
      <c r="AO87">
        <v>1</v>
      </c>
      <c r="AP87" t="s">
        <v>147</v>
      </c>
      <c r="AQ87" t="s">
        <v>665</v>
      </c>
      <c r="AR87" t="s">
        <v>148</v>
      </c>
      <c r="AS87">
        <v>2</v>
      </c>
      <c r="AT87" t="s">
        <v>149</v>
      </c>
      <c r="BD87" t="e">
        <f>B77+#REF!+#REF!+C77+D77+E77</f>
        <v>#REF!</v>
      </c>
    </row>
    <row r="88" spans="1:56" x14ac:dyDescent="0.2">
      <c r="A88" t="s">
        <v>666</v>
      </c>
      <c r="B88">
        <f>SUMIFS('Business Expenses'!F:F,'Business Expenses'!A:A,"&gt;="&amp;DATE(2024,2,1),'Business Expenses'!A:A,"&lt;"&amp;DATE(2024,3,1))</f>
        <v>127.12</v>
      </c>
      <c r="C88" t="s">
        <v>174</v>
      </c>
      <c r="D88" t="s">
        <v>146</v>
      </c>
      <c r="E88">
        <v>2</v>
      </c>
      <c r="F88" t="s">
        <v>147</v>
      </c>
      <c r="G88" t="s">
        <v>174</v>
      </c>
      <c r="H88" t="s">
        <v>148</v>
      </c>
      <c r="I88">
        <v>3</v>
      </c>
      <c r="J88" t="s">
        <v>149</v>
      </c>
      <c r="K88" t="s">
        <v>658</v>
      </c>
      <c r="L88" t="s">
        <v>659</v>
      </c>
      <c r="M88" t="s">
        <v>146</v>
      </c>
      <c r="N88">
        <v>2</v>
      </c>
      <c r="O88" t="s">
        <v>147</v>
      </c>
      <c r="P88" t="s">
        <v>659</v>
      </c>
      <c r="Q88" t="s">
        <v>148</v>
      </c>
      <c r="R88">
        <v>3</v>
      </c>
      <c r="S88" t="s">
        <v>149</v>
      </c>
      <c r="T88" t="s">
        <v>660</v>
      </c>
      <c r="U88" t="s">
        <v>661</v>
      </c>
      <c r="V88" t="s">
        <v>146</v>
      </c>
      <c r="W88">
        <v>2</v>
      </c>
      <c r="X88" t="s">
        <v>147</v>
      </c>
      <c r="Y88" t="s">
        <v>661</v>
      </c>
      <c r="Z88" t="s">
        <v>148</v>
      </c>
      <c r="AA88">
        <v>3</v>
      </c>
      <c r="AB88" t="s">
        <v>149</v>
      </c>
      <c r="AC88" t="s">
        <v>662</v>
      </c>
      <c r="AD88" t="s">
        <v>663</v>
      </c>
      <c r="AE88" t="s">
        <v>146</v>
      </c>
      <c r="AF88">
        <v>2</v>
      </c>
      <c r="AG88" t="s">
        <v>147</v>
      </c>
      <c r="AH88" t="s">
        <v>663</v>
      </c>
      <c r="AI88" t="s">
        <v>148</v>
      </c>
      <c r="AJ88">
        <v>3</v>
      </c>
      <c r="AK88" t="s">
        <v>149</v>
      </c>
      <c r="AL88" t="s">
        <v>664</v>
      </c>
      <c r="AM88" t="s">
        <v>665</v>
      </c>
      <c r="AN88" t="s">
        <v>146</v>
      </c>
      <c r="AO88">
        <v>2</v>
      </c>
      <c r="AP88" t="s">
        <v>147</v>
      </c>
      <c r="AQ88" t="s">
        <v>665</v>
      </c>
      <c r="AR88" t="s">
        <v>148</v>
      </c>
      <c r="AS88">
        <v>3</v>
      </c>
      <c r="AT88" t="s">
        <v>149</v>
      </c>
      <c r="BD88" t="e">
        <f>B78+#REF!+#REF!+C78+D78+E78</f>
        <v>#REF!</v>
      </c>
    </row>
    <row r="89" spans="1:56" x14ac:dyDescent="0.2">
      <c r="A89" t="s">
        <v>667</v>
      </c>
      <c r="B89">
        <f>SUMIFS('Business Expenses'!F:F,'Business Expenses'!A:A,"&gt;="&amp;DATE(2024,1,1),'Business Expenses'!A:A,"&lt;"&amp;DATE(2024,2,1))</f>
        <v>100.22</v>
      </c>
      <c r="C89" t="s">
        <v>174</v>
      </c>
      <c r="D89" t="s">
        <v>146</v>
      </c>
      <c r="E89">
        <v>3</v>
      </c>
      <c r="F89" t="s">
        <v>147</v>
      </c>
      <c r="G89" t="s">
        <v>174</v>
      </c>
      <c r="H89" t="s">
        <v>148</v>
      </c>
      <c r="I89">
        <v>4</v>
      </c>
      <c r="J89" t="s">
        <v>149</v>
      </c>
      <c r="K89" t="s">
        <v>658</v>
      </c>
      <c r="L89" t="s">
        <v>659</v>
      </c>
      <c r="M89" t="s">
        <v>146</v>
      </c>
      <c r="N89">
        <v>3</v>
      </c>
      <c r="O89" t="s">
        <v>147</v>
      </c>
      <c r="P89" t="s">
        <v>659</v>
      </c>
      <c r="Q89" t="s">
        <v>148</v>
      </c>
      <c r="R89">
        <v>4</v>
      </c>
      <c r="S89" t="s">
        <v>149</v>
      </c>
      <c r="T89" t="s">
        <v>660</v>
      </c>
      <c r="U89" t="s">
        <v>661</v>
      </c>
      <c r="V89" t="s">
        <v>146</v>
      </c>
      <c r="W89">
        <v>3</v>
      </c>
      <c r="X89" t="s">
        <v>147</v>
      </c>
      <c r="Y89" t="s">
        <v>661</v>
      </c>
      <c r="Z89" t="s">
        <v>148</v>
      </c>
      <c r="AA89">
        <v>4</v>
      </c>
      <c r="AB89" t="s">
        <v>149</v>
      </c>
      <c r="AC89" t="s">
        <v>662</v>
      </c>
      <c r="AD89" t="s">
        <v>663</v>
      </c>
      <c r="AE89" t="s">
        <v>146</v>
      </c>
      <c r="AF89">
        <v>3</v>
      </c>
      <c r="AG89" t="s">
        <v>147</v>
      </c>
      <c r="AH89" t="s">
        <v>663</v>
      </c>
      <c r="AI89" t="s">
        <v>148</v>
      </c>
      <c r="AJ89">
        <v>4</v>
      </c>
      <c r="AK89" t="s">
        <v>149</v>
      </c>
      <c r="AL89" t="s">
        <v>664</v>
      </c>
      <c r="AM89" t="s">
        <v>665</v>
      </c>
      <c r="AN89" t="s">
        <v>146</v>
      </c>
      <c r="AO89">
        <v>3</v>
      </c>
      <c r="AP89" t="s">
        <v>147</v>
      </c>
      <c r="AQ89" t="s">
        <v>665</v>
      </c>
      <c r="AR89" t="s">
        <v>148</v>
      </c>
      <c r="AS89">
        <v>4</v>
      </c>
      <c r="AT89" t="s">
        <v>149</v>
      </c>
      <c r="BD89" t="e">
        <f>B79+#REF!+#REF!+C79+D79+E79</f>
        <v>#REF!</v>
      </c>
    </row>
    <row r="91" spans="1:56" x14ac:dyDescent="0.2">
      <c r="A91" t="s">
        <v>668</v>
      </c>
    </row>
    <row r="92" spans="1:56" x14ac:dyDescent="0.2">
      <c r="A92" t="s">
        <v>669</v>
      </c>
      <c r="B92">
        <f>B26</f>
        <v>31190.139999999992</v>
      </c>
    </row>
    <row r="93" spans="1:56" x14ac:dyDescent="0.2">
      <c r="A93" t="s">
        <v>670</v>
      </c>
      <c r="B93">
        <f>B16</f>
        <v>17356.5</v>
      </c>
    </row>
    <row r="94" spans="1:56" x14ac:dyDescent="0.2">
      <c r="A94" t="s">
        <v>671</v>
      </c>
      <c r="B94">
        <f>'Mileage Log'!K5</f>
        <v>375.2000000000001</v>
      </c>
    </row>
    <row r="95" spans="1:56" x14ac:dyDescent="0.2">
      <c r="A95" t="s">
        <v>672</v>
      </c>
      <c r="B95">
        <f>'Receipt Tracker'!N5</f>
        <v>3</v>
      </c>
      <c r="C95" t="s">
        <v>673</v>
      </c>
    </row>
    <row r="99" spans="1:1" ht="29" x14ac:dyDescent="0.35">
      <c r="A99" s="14" t="s">
        <v>880</v>
      </c>
    </row>
    <row r="100" spans="1:1" x14ac:dyDescent="0.2">
      <c r="A100" t="s">
        <v>675</v>
      </c>
    </row>
    <row r="101" spans="1:1" x14ac:dyDescent="0.2">
      <c r="A101" s="5" t="s">
        <v>676</v>
      </c>
    </row>
    <row r="102" spans="1:1" x14ac:dyDescent="0.2">
      <c r="A102" t="s">
        <v>677</v>
      </c>
    </row>
    <row r="103" spans="1:1" x14ac:dyDescent="0.2">
      <c r="A103" s="5" t="s">
        <v>678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5FF38-5A97-3747-87D8-3712D65CCD4C}">
  <sheetPr codeName="Sheet12"/>
  <dimension ref="A1:A244"/>
  <sheetViews>
    <sheetView topLeftCell="A42" workbookViewId="0">
      <selection activeCell="A65" sqref="A65"/>
    </sheetView>
  </sheetViews>
  <sheetFormatPr baseColWidth="10" defaultRowHeight="16" x14ac:dyDescent="0.2"/>
  <cols>
    <col min="1" max="1" width="65.6640625" bestFit="1" customWidth="1"/>
  </cols>
  <sheetData>
    <row r="1" spans="1:1" x14ac:dyDescent="0.2">
      <c r="A1" t="s">
        <v>679</v>
      </c>
    </row>
    <row r="2" spans="1:1" x14ac:dyDescent="0.2">
      <c r="A2" t="s">
        <v>680</v>
      </c>
    </row>
    <row r="4" spans="1:1" x14ac:dyDescent="0.2">
      <c r="A4" t="s">
        <v>681</v>
      </c>
    </row>
    <row r="5" spans="1:1" x14ac:dyDescent="0.2">
      <c r="A5" t="s">
        <v>682</v>
      </c>
    </row>
    <row r="6" spans="1:1" x14ac:dyDescent="0.2">
      <c r="A6" t="s">
        <v>683</v>
      </c>
    </row>
    <row r="7" spans="1:1" x14ac:dyDescent="0.2">
      <c r="A7" t="s">
        <v>684</v>
      </c>
    </row>
    <row r="9" spans="1:1" x14ac:dyDescent="0.2">
      <c r="A9" t="s">
        <v>685</v>
      </c>
    </row>
    <row r="10" spans="1:1" x14ac:dyDescent="0.2">
      <c r="A10" t="s">
        <v>770</v>
      </c>
    </row>
    <row r="11" spans="1:1" x14ac:dyDescent="0.2">
      <c r="A11" t="s">
        <v>771</v>
      </c>
    </row>
    <row r="12" spans="1:1" x14ac:dyDescent="0.2">
      <c r="A12" t="s">
        <v>772</v>
      </c>
    </row>
    <row r="13" spans="1:1" x14ac:dyDescent="0.2">
      <c r="A13" t="s">
        <v>773</v>
      </c>
    </row>
    <row r="14" spans="1:1" x14ac:dyDescent="0.2">
      <c r="A14" t="s">
        <v>774</v>
      </c>
    </row>
    <row r="15" spans="1:1" x14ac:dyDescent="0.2">
      <c r="A15" t="s">
        <v>775</v>
      </c>
    </row>
    <row r="17" spans="1:1" x14ac:dyDescent="0.2">
      <c r="A17" t="s">
        <v>686</v>
      </c>
    </row>
    <row r="19" spans="1:1" x14ac:dyDescent="0.2">
      <c r="A19" t="s">
        <v>687</v>
      </c>
    </row>
    <row r="20" spans="1:1" x14ac:dyDescent="0.2">
      <c r="A20" t="s">
        <v>790</v>
      </c>
    </row>
    <row r="21" spans="1:1" x14ac:dyDescent="0.2">
      <c r="A21" t="s">
        <v>791</v>
      </c>
    </row>
    <row r="22" spans="1:1" x14ac:dyDescent="0.2">
      <c r="A22" t="s">
        <v>792</v>
      </c>
    </row>
    <row r="24" spans="1:1" x14ac:dyDescent="0.2">
      <c r="A24" t="s">
        <v>688</v>
      </c>
    </row>
    <row r="25" spans="1:1" x14ac:dyDescent="0.2">
      <c r="A25" t="s">
        <v>793</v>
      </c>
    </row>
    <row r="26" spans="1:1" x14ac:dyDescent="0.2">
      <c r="A26" t="s">
        <v>794</v>
      </c>
    </row>
    <row r="27" spans="1:1" x14ac:dyDescent="0.2">
      <c r="A27" t="s">
        <v>795</v>
      </c>
    </row>
    <row r="28" spans="1:1" x14ac:dyDescent="0.2">
      <c r="A28" t="s">
        <v>796</v>
      </c>
    </row>
    <row r="30" spans="1:1" x14ac:dyDescent="0.2">
      <c r="A30" t="s">
        <v>689</v>
      </c>
    </row>
    <row r="31" spans="1:1" x14ac:dyDescent="0.2">
      <c r="A31" t="s">
        <v>797</v>
      </c>
    </row>
    <row r="32" spans="1:1" x14ac:dyDescent="0.2">
      <c r="A32" t="s">
        <v>798</v>
      </c>
    </row>
    <row r="33" spans="1:1" x14ac:dyDescent="0.2">
      <c r="A33" t="s">
        <v>799</v>
      </c>
    </row>
    <row r="34" spans="1:1" x14ac:dyDescent="0.2">
      <c r="A34" t="s">
        <v>800</v>
      </c>
    </row>
    <row r="36" spans="1:1" x14ac:dyDescent="0.2">
      <c r="A36" t="s">
        <v>690</v>
      </c>
    </row>
    <row r="38" spans="1:1" x14ac:dyDescent="0.2">
      <c r="A38" t="s">
        <v>691</v>
      </c>
    </row>
    <row r="39" spans="1:1" x14ac:dyDescent="0.2">
      <c r="A39" t="s">
        <v>692</v>
      </c>
    </row>
    <row r="40" spans="1:1" x14ac:dyDescent="0.2">
      <c r="A40" t="s">
        <v>693</v>
      </c>
    </row>
    <row r="42" spans="1:1" x14ac:dyDescent="0.2">
      <c r="A42" t="s">
        <v>694</v>
      </c>
    </row>
    <row r="43" spans="1:1" x14ac:dyDescent="0.2">
      <c r="A43" t="s">
        <v>695</v>
      </c>
    </row>
    <row r="44" spans="1:1" x14ac:dyDescent="0.2">
      <c r="A44" t="s">
        <v>696</v>
      </c>
    </row>
    <row r="45" spans="1:1" x14ac:dyDescent="0.2">
      <c r="A45" t="s">
        <v>697</v>
      </c>
    </row>
    <row r="47" spans="1:1" x14ac:dyDescent="0.2">
      <c r="A47" t="s">
        <v>698</v>
      </c>
    </row>
    <row r="48" spans="1:1" x14ac:dyDescent="0.2">
      <c r="A48" t="s">
        <v>699</v>
      </c>
    </row>
    <row r="49" spans="1:1" x14ac:dyDescent="0.2">
      <c r="A49" t="s">
        <v>700</v>
      </c>
    </row>
    <row r="50" spans="1:1" x14ac:dyDescent="0.2">
      <c r="A50" t="s">
        <v>701</v>
      </c>
    </row>
    <row r="52" spans="1:1" x14ac:dyDescent="0.2">
      <c r="A52" t="s">
        <v>702</v>
      </c>
    </row>
    <row r="53" spans="1:1" x14ac:dyDescent="0.2">
      <c r="A53" t="s">
        <v>703</v>
      </c>
    </row>
    <row r="54" spans="1:1" x14ac:dyDescent="0.2">
      <c r="A54" t="s">
        <v>704</v>
      </c>
    </row>
    <row r="55" spans="1:1" x14ac:dyDescent="0.2">
      <c r="A55" t="s">
        <v>705</v>
      </c>
    </row>
    <row r="56" spans="1:1" x14ac:dyDescent="0.2">
      <c r="A56" t="s">
        <v>706</v>
      </c>
    </row>
    <row r="58" spans="1:1" x14ac:dyDescent="0.2">
      <c r="A58" t="s">
        <v>707</v>
      </c>
    </row>
    <row r="59" spans="1:1" x14ac:dyDescent="0.2">
      <c r="A59" t="s">
        <v>708</v>
      </c>
    </row>
    <row r="60" spans="1:1" x14ac:dyDescent="0.2">
      <c r="A60" t="s">
        <v>801</v>
      </c>
    </row>
    <row r="61" spans="1:1" x14ac:dyDescent="0.2">
      <c r="A61" t="s">
        <v>802</v>
      </c>
    </row>
    <row r="62" spans="1:1" x14ac:dyDescent="0.2">
      <c r="A62" t="s">
        <v>803</v>
      </c>
    </row>
    <row r="63" spans="1:1" x14ac:dyDescent="0.2">
      <c r="A63" t="s">
        <v>709</v>
      </c>
    </row>
    <row r="65" spans="1:1" x14ac:dyDescent="0.2">
      <c r="A65" t="s">
        <v>710</v>
      </c>
    </row>
    <row r="66" spans="1:1" x14ac:dyDescent="0.2">
      <c r="A66" t="s">
        <v>711</v>
      </c>
    </row>
    <row r="67" spans="1:1" x14ac:dyDescent="0.2">
      <c r="A67" t="s">
        <v>712</v>
      </c>
    </row>
    <row r="68" spans="1:1" x14ac:dyDescent="0.2">
      <c r="A68" t="s">
        <v>713</v>
      </c>
    </row>
    <row r="70" spans="1:1" x14ac:dyDescent="0.2">
      <c r="A70" t="s">
        <v>714</v>
      </c>
    </row>
    <row r="71" spans="1:1" x14ac:dyDescent="0.2">
      <c r="A71" t="s">
        <v>715</v>
      </c>
    </row>
    <row r="72" spans="1:1" x14ac:dyDescent="0.2">
      <c r="A72" t="s">
        <v>716</v>
      </c>
    </row>
    <row r="73" spans="1:1" x14ac:dyDescent="0.2">
      <c r="A73" t="s">
        <v>717</v>
      </c>
    </row>
    <row r="74" spans="1:1" x14ac:dyDescent="0.2">
      <c r="A74" t="s">
        <v>718</v>
      </c>
    </row>
    <row r="76" spans="1:1" x14ac:dyDescent="0.2">
      <c r="A76" t="s">
        <v>719</v>
      </c>
    </row>
    <row r="77" spans="1:1" x14ac:dyDescent="0.2">
      <c r="A77" t="s">
        <v>720</v>
      </c>
    </row>
    <row r="78" spans="1:1" x14ac:dyDescent="0.2">
      <c r="A78" t="s">
        <v>721</v>
      </c>
    </row>
    <row r="79" spans="1:1" x14ac:dyDescent="0.2">
      <c r="A79" t="s">
        <v>722</v>
      </c>
    </row>
    <row r="80" spans="1:1" x14ac:dyDescent="0.2">
      <c r="A80" t="s">
        <v>723</v>
      </c>
    </row>
    <row r="82" spans="1:1" x14ac:dyDescent="0.2">
      <c r="A82" t="s">
        <v>724</v>
      </c>
    </row>
    <row r="84" spans="1:1" x14ac:dyDescent="0.2">
      <c r="A84" t="s">
        <v>725</v>
      </c>
    </row>
    <row r="85" spans="1:1" x14ac:dyDescent="0.2">
      <c r="A85" t="s">
        <v>804</v>
      </c>
    </row>
    <row r="86" spans="1:1" x14ac:dyDescent="0.2">
      <c r="A86" t="s">
        <v>805</v>
      </c>
    </row>
    <row r="87" spans="1:1" x14ac:dyDescent="0.2">
      <c r="A87" t="s">
        <v>806</v>
      </c>
    </row>
    <row r="89" spans="1:1" x14ac:dyDescent="0.2">
      <c r="A89" t="s">
        <v>726</v>
      </c>
    </row>
    <row r="90" spans="1:1" x14ac:dyDescent="0.2">
      <c r="A90" t="s">
        <v>807</v>
      </c>
    </row>
    <row r="91" spans="1:1" x14ac:dyDescent="0.2">
      <c r="A91" t="s">
        <v>808</v>
      </c>
    </row>
    <row r="92" spans="1:1" x14ac:dyDescent="0.2">
      <c r="A92" t="s">
        <v>809</v>
      </c>
    </row>
    <row r="93" spans="1:1" x14ac:dyDescent="0.2">
      <c r="A93" t="s">
        <v>810</v>
      </c>
    </row>
    <row r="95" spans="1:1" x14ac:dyDescent="0.2">
      <c r="A95" t="s">
        <v>727</v>
      </c>
    </row>
    <row r="96" spans="1:1" x14ac:dyDescent="0.2">
      <c r="A96" t="s">
        <v>728</v>
      </c>
    </row>
    <row r="97" spans="1:1" x14ac:dyDescent="0.2">
      <c r="A97" t="s">
        <v>811</v>
      </c>
    </row>
    <row r="98" spans="1:1" x14ac:dyDescent="0.2">
      <c r="A98" t="s">
        <v>812</v>
      </c>
    </row>
    <row r="99" spans="1:1" x14ac:dyDescent="0.2">
      <c r="A99" t="s">
        <v>813</v>
      </c>
    </row>
    <row r="100" spans="1:1" x14ac:dyDescent="0.2">
      <c r="A100" t="s">
        <v>814</v>
      </c>
    </row>
    <row r="102" spans="1:1" x14ac:dyDescent="0.2">
      <c r="A102" t="s">
        <v>729</v>
      </c>
    </row>
    <row r="103" spans="1:1" x14ac:dyDescent="0.2">
      <c r="A103" t="s">
        <v>815</v>
      </c>
    </row>
    <row r="104" spans="1:1" x14ac:dyDescent="0.2">
      <c r="A104" t="s">
        <v>816</v>
      </c>
    </row>
    <row r="105" spans="1:1" x14ac:dyDescent="0.2">
      <c r="A105" t="s">
        <v>817</v>
      </c>
    </row>
    <row r="106" spans="1:1" x14ac:dyDescent="0.2">
      <c r="A106" t="s">
        <v>818</v>
      </c>
    </row>
    <row r="108" spans="1:1" x14ac:dyDescent="0.2">
      <c r="A108" t="s">
        <v>730</v>
      </c>
    </row>
    <row r="110" spans="1:1" x14ac:dyDescent="0.2">
      <c r="A110" t="s">
        <v>731</v>
      </c>
    </row>
    <row r="111" spans="1:1" x14ac:dyDescent="0.2">
      <c r="A111" t="s">
        <v>776</v>
      </c>
    </row>
    <row r="112" spans="1:1" x14ac:dyDescent="0.2">
      <c r="A112" t="s">
        <v>777</v>
      </c>
    </row>
    <row r="113" spans="1:1" x14ac:dyDescent="0.2">
      <c r="A113" t="s">
        <v>778</v>
      </c>
    </row>
    <row r="114" spans="1:1" x14ac:dyDescent="0.2">
      <c r="A114" t="s">
        <v>779</v>
      </c>
    </row>
    <row r="115" spans="1:1" x14ac:dyDescent="0.2">
      <c r="A115" t="s">
        <v>780</v>
      </c>
    </row>
    <row r="116" spans="1:1" x14ac:dyDescent="0.2">
      <c r="A116" t="s">
        <v>781</v>
      </c>
    </row>
    <row r="117" spans="1:1" x14ac:dyDescent="0.2">
      <c r="A117" t="s">
        <v>782</v>
      </c>
    </row>
    <row r="119" spans="1:1" x14ac:dyDescent="0.2">
      <c r="A119" t="s">
        <v>732</v>
      </c>
    </row>
    <row r="120" spans="1:1" x14ac:dyDescent="0.2">
      <c r="A120" t="s">
        <v>783</v>
      </c>
    </row>
    <row r="121" spans="1:1" x14ac:dyDescent="0.2">
      <c r="A121" t="s">
        <v>784</v>
      </c>
    </row>
    <row r="122" spans="1:1" x14ac:dyDescent="0.2">
      <c r="A122" t="s">
        <v>785</v>
      </c>
    </row>
    <row r="123" spans="1:1" x14ac:dyDescent="0.2">
      <c r="A123" t="s">
        <v>786</v>
      </c>
    </row>
    <row r="124" spans="1:1" x14ac:dyDescent="0.2">
      <c r="A124" t="s">
        <v>787</v>
      </c>
    </row>
    <row r="125" spans="1:1" x14ac:dyDescent="0.2">
      <c r="A125" t="s">
        <v>788</v>
      </c>
    </row>
    <row r="126" spans="1:1" x14ac:dyDescent="0.2">
      <c r="A126" t="s">
        <v>789</v>
      </c>
    </row>
    <row r="128" spans="1:1" x14ac:dyDescent="0.2">
      <c r="A128" t="s">
        <v>733</v>
      </c>
    </row>
    <row r="130" spans="1:1" x14ac:dyDescent="0.2">
      <c r="A130" t="s">
        <v>867</v>
      </c>
    </row>
    <row r="131" spans="1:1" x14ac:dyDescent="0.2">
      <c r="A131" t="s">
        <v>819</v>
      </c>
    </row>
    <row r="132" spans="1:1" x14ac:dyDescent="0.2">
      <c r="A132" t="s">
        <v>820</v>
      </c>
    </row>
    <row r="133" spans="1:1" x14ac:dyDescent="0.2">
      <c r="A133" t="s">
        <v>821</v>
      </c>
    </row>
    <row r="134" spans="1:1" x14ac:dyDescent="0.2">
      <c r="A134" t="s">
        <v>822</v>
      </c>
    </row>
    <row r="136" spans="1:1" x14ac:dyDescent="0.2">
      <c r="A136" t="s">
        <v>868</v>
      </c>
    </row>
    <row r="137" spans="1:1" x14ac:dyDescent="0.2">
      <c r="A137" t="s">
        <v>823</v>
      </c>
    </row>
    <row r="138" spans="1:1" x14ac:dyDescent="0.2">
      <c r="A138" t="s">
        <v>824</v>
      </c>
    </row>
    <row r="139" spans="1:1" x14ac:dyDescent="0.2">
      <c r="A139" t="s">
        <v>825</v>
      </c>
    </row>
    <row r="140" spans="1:1" x14ac:dyDescent="0.2">
      <c r="A140" t="s">
        <v>826</v>
      </c>
    </row>
    <row r="142" spans="1:1" x14ac:dyDescent="0.2">
      <c r="A142" t="s">
        <v>869</v>
      </c>
    </row>
    <row r="143" spans="1:1" x14ac:dyDescent="0.2">
      <c r="A143" t="s">
        <v>827</v>
      </c>
    </row>
    <row r="144" spans="1:1" x14ac:dyDescent="0.2">
      <c r="A144" t="s">
        <v>828</v>
      </c>
    </row>
    <row r="145" spans="1:1" x14ac:dyDescent="0.2">
      <c r="A145" t="s">
        <v>829</v>
      </c>
    </row>
    <row r="147" spans="1:1" x14ac:dyDescent="0.2">
      <c r="A147" t="s">
        <v>734</v>
      </c>
    </row>
    <row r="149" spans="1:1" x14ac:dyDescent="0.2">
      <c r="A149" t="s">
        <v>735</v>
      </c>
    </row>
    <row r="150" spans="1:1" x14ac:dyDescent="0.2">
      <c r="A150" t="s">
        <v>830</v>
      </c>
    </row>
    <row r="151" spans="1:1" x14ac:dyDescent="0.2">
      <c r="A151" t="s">
        <v>831</v>
      </c>
    </row>
    <row r="152" spans="1:1" x14ac:dyDescent="0.2">
      <c r="A152" t="s">
        <v>832</v>
      </c>
    </row>
    <row r="153" spans="1:1" x14ac:dyDescent="0.2">
      <c r="A153" t="s">
        <v>833</v>
      </c>
    </row>
    <row r="154" spans="1:1" x14ac:dyDescent="0.2">
      <c r="A154" t="s">
        <v>834</v>
      </c>
    </row>
    <row r="156" spans="1:1" x14ac:dyDescent="0.2">
      <c r="A156" t="s">
        <v>736</v>
      </c>
    </row>
    <row r="157" spans="1:1" x14ac:dyDescent="0.2">
      <c r="A157" t="s">
        <v>835</v>
      </c>
    </row>
    <row r="158" spans="1:1" x14ac:dyDescent="0.2">
      <c r="A158" t="s">
        <v>836</v>
      </c>
    </row>
    <row r="159" spans="1:1" x14ac:dyDescent="0.2">
      <c r="A159" t="s">
        <v>837</v>
      </c>
    </row>
    <row r="160" spans="1:1" x14ac:dyDescent="0.2">
      <c r="A160" t="s">
        <v>838</v>
      </c>
    </row>
    <row r="161" spans="1:1" x14ac:dyDescent="0.2">
      <c r="A161" t="s">
        <v>839</v>
      </c>
    </row>
    <row r="162" spans="1:1" x14ac:dyDescent="0.2">
      <c r="A162" t="s">
        <v>840</v>
      </c>
    </row>
    <row r="164" spans="1:1" x14ac:dyDescent="0.2">
      <c r="A164" t="s">
        <v>737</v>
      </c>
    </row>
    <row r="166" spans="1:1" x14ac:dyDescent="0.2">
      <c r="A166" t="s">
        <v>738</v>
      </c>
    </row>
    <row r="167" spans="1:1" x14ac:dyDescent="0.2">
      <c r="A167" t="s">
        <v>841</v>
      </c>
    </row>
    <row r="168" spans="1:1" x14ac:dyDescent="0.2">
      <c r="A168" t="s">
        <v>842</v>
      </c>
    </row>
    <row r="169" spans="1:1" x14ac:dyDescent="0.2">
      <c r="A169" t="s">
        <v>843</v>
      </c>
    </row>
    <row r="170" spans="1:1" x14ac:dyDescent="0.2">
      <c r="A170" t="s">
        <v>844</v>
      </c>
    </row>
    <row r="171" spans="1:1" x14ac:dyDescent="0.2">
      <c r="A171" t="s">
        <v>845</v>
      </c>
    </row>
    <row r="172" spans="1:1" x14ac:dyDescent="0.2">
      <c r="A172" t="s">
        <v>846</v>
      </c>
    </row>
    <row r="173" spans="1:1" x14ac:dyDescent="0.2">
      <c r="A173" t="s">
        <v>847</v>
      </c>
    </row>
    <row r="175" spans="1:1" x14ac:dyDescent="0.2">
      <c r="A175" t="s">
        <v>739</v>
      </c>
    </row>
    <row r="176" spans="1:1" x14ac:dyDescent="0.2">
      <c r="A176" t="s">
        <v>874</v>
      </c>
    </row>
    <row r="177" spans="1:1" x14ac:dyDescent="0.2">
      <c r="A177" t="s">
        <v>871</v>
      </c>
    </row>
    <row r="178" spans="1:1" x14ac:dyDescent="0.2">
      <c r="A178" t="s">
        <v>872</v>
      </c>
    </row>
    <row r="179" spans="1:1" x14ac:dyDescent="0.2">
      <c r="A179" t="s">
        <v>873</v>
      </c>
    </row>
    <row r="181" spans="1:1" x14ac:dyDescent="0.2">
      <c r="A181" t="s">
        <v>740</v>
      </c>
    </row>
    <row r="183" spans="1:1" x14ac:dyDescent="0.2">
      <c r="A183" t="s">
        <v>875</v>
      </c>
    </row>
    <row r="184" spans="1:1" x14ac:dyDescent="0.2">
      <c r="A184" t="s">
        <v>741</v>
      </c>
    </row>
    <row r="185" spans="1:1" x14ac:dyDescent="0.2">
      <c r="A185" t="s">
        <v>742</v>
      </c>
    </row>
    <row r="186" spans="1:1" x14ac:dyDescent="0.2">
      <c r="A186" t="s">
        <v>743</v>
      </c>
    </row>
    <row r="187" spans="1:1" x14ac:dyDescent="0.2">
      <c r="A187" t="s">
        <v>744</v>
      </c>
    </row>
    <row r="188" spans="1:1" x14ac:dyDescent="0.2">
      <c r="A188" t="s">
        <v>745</v>
      </c>
    </row>
    <row r="189" spans="1:1" x14ac:dyDescent="0.2">
      <c r="A189" t="s">
        <v>746</v>
      </c>
    </row>
    <row r="190" spans="1:1" x14ac:dyDescent="0.2">
      <c r="A190" t="s">
        <v>747</v>
      </c>
    </row>
    <row r="192" spans="1:1" x14ac:dyDescent="0.2">
      <c r="A192" t="s">
        <v>748</v>
      </c>
    </row>
    <row r="194" spans="1:1" x14ac:dyDescent="0.2">
      <c r="A194" t="s">
        <v>749</v>
      </c>
    </row>
    <row r="195" spans="1:1" x14ac:dyDescent="0.2">
      <c r="A195" t="s">
        <v>848</v>
      </c>
    </row>
    <row r="196" spans="1:1" x14ac:dyDescent="0.2">
      <c r="A196" t="s">
        <v>849</v>
      </c>
    </row>
    <row r="197" spans="1:1" x14ac:dyDescent="0.2">
      <c r="A197" t="s">
        <v>850</v>
      </c>
    </row>
    <row r="198" spans="1:1" x14ac:dyDescent="0.2">
      <c r="A198" t="s">
        <v>851</v>
      </c>
    </row>
    <row r="199" spans="1:1" x14ac:dyDescent="0.2">
      <c r="A199" t="s">
        <v>852</v>
      </c>
    </row>
    <row r="201" spans="1:1" x14ac:dyDescent="0.2">
      <c r="A201" t="s">
        <v>750</v>
      </c>
    </row>
    <row r="202" spans="1:1" x14ac:dyDescent="0.2">
      <c r="A202" t="s">
        <v>853</v>
      </c>
    </row>
    <row r="203" spans="1:1" x14ac:dyDescent="0.2">
      <c r="A203" t="s">
        <v>854</v>
      </c>
    </row>
    <row r="204" spans="1:1" x14ac:dyDescent="0.2">
      <c r="A204" t="s">
        <v>855</v>
      </c>
    </row>
    <row r="205" spans="1:1" x14ac:dyDescent="0.2">
      <c r="A205" t="s">
        <v>856</v>
      </c>
    </row>
    <row r="206" spans="1:1" x14ac:dyDescent="0.2">
      <c r="A206" t="s">
        <v>857</v>
      </c>
    </row>
    <row r="208" spans="1:1" x14ac:dyDescent="0.2">
      <c r="A208" t="s">
        <v>751</v>
      </c>
    </row>
    <row r="210" spans="1:1" x14ac:dyDescent="0.2">
      <c r="A210" t="s">
        <v>752</v>
      </c>
    </row>
    <row r="211" spans="1:1" x14ac:dyDescent="0.2">
      <c r="A211" t="s">
        <v>858</v>
      </c>
    </row>
    <row r="212" spans="1:1" x14ac:dyDescent="0.2">
      <c r="A212" t="s">
        <v>859</v>
      </c>
    </row>
    <row r="213" spans="1:1" x14ac:dyDescent="0.2">
      <c r="A213" t="s">
        <v>860</v>
      </c>
    </row>
    <row r="214" spans="1:1" x14ac:dyDescent="0.2">
      <c r="A214" t="s">
        <v>861</v>
      </c>
    </row>
    <row r="215" spans="1:1" x14ac:dyDescent="0.2">
      <c r="A215" t="s">
        <v>862</v>
      </c>
    </row>
    <row r="217" spans="1:1" x14ac:dyDescent="0.2">
      <c r="A217" t="s">
        <v>753</v>
      </c>
    </row>
    <row r="219" spans="1:1" x14ac:dyDescent="0.2">
      <c r="A219" t="s">
        <v>870</v>
      </c>
    </row>
    <row r="220" spans="1:1" x14ac:dyDescent="0.2">
      <c r="A220" t="s">
        <v>754</v>
      </c>
    </row>
    <row r="221" spans="1:1" x14ac:dyDescent="0.2">
      <c r="A221" t="s">
        <v>755</v>
      </c>
    </row>
    <row r="222" spans="1:1" x14ac:dyDescent="0.2">
      <c r="A222" t="s">
        <v>756</v>
      </c>
    </row>
    <row r="223" spans="1:1" x14ac:dyDescent="0.2">
      <c r="A223" t="s">
        <v>757</v>
      </c>
    </row>
    <row r="224" spans="1:1" x14ac:dyDescent="0.2">
      <c r="A224" t="s">
        <v>758</v>
      </c>
    </row>
    <row r="226" spans="1:1" x14ac:dyDescent="0.2">
      <c r="A226" t="s">
        <v>759</v>
      </c>
    </row>
    <row r="227" spans="1:1" x14ac:dyDescent="0.2">
      <c r="A227" t="s">
        <v>760</v>
      </c>
    </row>
    <row r="228" spans="1:1" x14ac:dyDescent="0.2">
      <c r="A228" t="s">
        <v>863</v>
      </c>
    </row>
    <row r="229" spans="1:1" x14ac:dyDescent="0.2">
      <c r="A229" t="s">
        <v>864</v>
      </c>
    </row>
    <row r="230" spans="1:1" x14ac:dyDescent="0.2">
      <c r="A230" t="s">
        <v>865</v>
      </c>
    </row>
    <row r="231" spans="1:1" x14ac:dyDescent="0.2">
      <c r="A231" t="s">
        <v>866</v>
      </c>
    </row>
    <row r="233" spans="1:1" x14ac:dyDescent="0.2">
      <c r="A233" t="s">
        <v>761</v>
      </c>
    </row>
    <row r="235" spans="1:1" x14ac:dyDescent="0.2">
      <c r="A235" t="s">
        <v>762</v>
      </c>
    </row>
    <row r="236" spans="1:1" x14ac:dyDescent="0.2">
      <c r="A236" t="s">
        <v>763</v>
      </c>
    </row>
    <row r="238" spans="1:1" x14ac:dyDescent="0.2">
      <c r="A238" t="s">
        <v>764</v>
      </c>
    </row>
    <row r="239" spans="1:1" x14ac:dyDescent="0.2">
      <c r="A239" t="s">
        <v>765</v>
      </c>
    </row>
    <row r="240" spans="1:1" x14ac:dyDescent="0.2">
      <c r="A240" t="s">
        <v>766</v>
      </c>
    </row>
    <row r="242" spans="1:1" x14ac:dyDescent="0.2">
      <c r="A242" t="s">
        <v>767</v>
      </c>
    </row>
    <row r="243" spans="1:1" x14ac:dyDescent="0.2">
      <c r="A243" t="s">
        <v>674</v>
      </c>
    </row>
    <row r="244" spans="1:1" x14ac:dyDescent="0.2">
      <c r="A244" t="s">
        <v>876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Executive Dashboard</vt:lpstr>
      <vt:lpstr>Recurring Setup</vt:lpstr>
      <vt:lpstr>Business Expenses</vt:lpstr>
      <vt:lpstr>Home Office</vt:lpstr>
      <vt:lpstr>Vehicle &amp; Travel</vt:lpstr>
      <vt:lpstr>Medical &amp; Health</vt:lpstr>
      <vt:lpstr>Charitable Contributions</vt:lpstr>
      <vt:lpstr>Investment &amp; Financial</vt:lpstr>
      <vt:lpstr>Mileage Log</vt:lpstr>
      <vt:lpstr>Receipt Tracker</vt:lpstr>
      <vt:lpstr>Year-End Summary</vt:lpstr>
      <vt:lpstr>Instructions &amp; Tips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Sparano</dc:creator>
  <cp:lastModifiedBy>Daniel Sparano</cp:lastModifiedBy>
  <dcterms:created xsi:type="dcterms:W3CDTF">2025-06-10T04:05:06Z</dcterms:created>
  <dcterms:modified xsi:type="dcterms:W3CDTF">2025-06-30T21:31:30Z</dcterms:modified>
</cp:coreProperties>
</file>