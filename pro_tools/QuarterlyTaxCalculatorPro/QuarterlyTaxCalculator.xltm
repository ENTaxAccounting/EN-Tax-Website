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aniel/Documents/AppProjects/EN-Tax-Website/pro_tools/QuarterlyTaxCalculatorPro/"/>
    </mc:Choice>
  </mc:AlternateContent>
  <xr:revisionPtr revIDLastSave="0" documentId="13_ncr:1_{EDD7B3B2-6BEF-F844-A860-DD32D4257608}" xr6:coauthVersionLast="47" xr6:coauthVersionMax="47" xr10:uidLastSave="{00000000-0000-0000-0000-000000000000}"/>
  <bookViews>
    <workbookView xWindow="3480" yWindow="780" windowWidth="27640" windowHeight="19740" xr2:uid="{1969BB49-4B60-5D4E-A51B-92E74B91CAEB}"/>
  </bookViews>
  <sheets>
    <sheet name="Dashboard" sheetId="1" r:id="rId1"/>
    <sheet name="Input Data" sheetId="10" r:id="rId2"/>
    <sheet name="Calculations" sheetId="3" r:id="rId3"/>
    <sheet name="Tax Tables" sheetId="4" r:id="rId4"/>
    <sheet name="State Calculations" sheetId="5" r:id="rId5"/>
    <sheet name="Payment Tracker" sheetId="6" r:id="rId6"/>
    <sheet name="Scenarios" sheetId="7" r:id="rId7"/>
    <sheet name="Vouchers" sheetId="8" r:id="rId8"/>
    <sheet name="Help &amp; Setup" sheetId="9" r:id="rId9"/>
  </sheets>
  <externalReferences>
    <externalReference r:id="rId10"/>
    <externalReference r:id="rId11"/>
    <externalReference r:id="rId12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B25" i="1"/>
  <c r="B19" i="1"/>
  <c r="B9" i="1"/>
  <c r="B8" i="1"/>
  <c r="B7" i="1"/>
  <c r="B6" i="1"/>
  <c r="B5" i="1"/>
  <c r="B38" i="3"/>
  <c r="B40" i="3" s="1"/>
  <c r="B45" i="3"/>
  <c r="B44" i="3"/>
  <c r="B17" i="3"/>
  <c r="B13" i="3"/>
  <c r="G34" i="3"/>
  <c r="F34" i="3"/>
  <c r="E34" i="3"/>
  <c r="D34" i="3"/>
  <c r="C34" i="3"/>
  <c r="D7" i="6"/>
  <c r="D6" i="6"/>
  <c r="D5" i="6"/>
  <c r="D4" i="6"/>
  <c r="B28" i="3"/>
  <c r="B24" i="3"/>
  <c r="B27" i="3" s="1"/>
  <c r="B29" i="3" s="1"/>
  <c r="B30" i="3" s="1"/>
  <c r="B22" i="3"/>
  <c r="B21" i="3"/>
  <c r="B16" i="3"/>
  <c r="B18" i="3" s="1"/>
  <c r="B15" i="3"/>
  <c r="B14" i="3"/>
  <c r="B10" i="3"/>
  <c r="B9" i="3"/>
  <c r="B8" i="3"/>
  <c r="B7" i="3"/>
  <c r="B6" i="3"/>
  <c r="B5" i="3"/>
  <c r="B4" i="3"/>
  <c r="B76" i="5" s="1"/>
  <c r="B63" i="5"/>
  <c r="B61" i="5"/>
  <c r="B62" i="5" s="1"/>
  <c r="B60" i="5"/>
  <c r="B59" i="5"/>
  <c r="E16" i="1"/>
  <c r="E15" i="1"/>
  <c r="E14" i="1"/>
  <c r="E13" i="1"/>
  <c r="B15" i="6"/>
  <c r="B11" i="6"/>
  <c r="F23" i="7"/>
  <c r="E23" i="7"/>
  <c r="D23" i="7"/>
  <c r="C23" i="7"/>
  <c r="C21" i="7"/>
  <c r="D21" i="7"/>
  <c r="E24" i="7" s="1"/>
  <c r="E21" i="7"/>
  <c r="F21" i="7"/>
  <c r="F20" i="7"/>
  <c r="E20" i="7"/>
  <c r="D20" i="7"/>
  <c r="C20" i="7"/>
  <c r="C14" i="7"/>
  <c r="C13" i="7"/>
  <c r="C9" i="7"/>
  <c r="C8" i="7"/>
  <c r="C7" i="7"/>
  <c r="B58" i="5"/>
  <c r="C79" i="8"/>
  <c r="C58" i="8"/>
  <c r="C37" i="8"/>
  <c r="C16" i="8"/>
  <c r="C41" i="7"/>
  <c r="E40" i="7"/>
  <c r="D40" i="7"/>
  <c r="C40" i="7"/>
  <c r="F39" i="7"/>
  <c r="E39" i="7"/>
  <c r="D39" i="7"/>
  <c r="C39" i="7"/>
  <c r="E36" i="7"/>
  <c r="D36" i="7"/>
  <c r="C36" i="7"/>
  <c r="C35" i="7"/>
  <c r="E34" i="7"/>
  <c r="D34" i="7"/>
  <c r="C34" i="7"/>
  <c r="C33" i="7"/>
  <c r="D41" i="7" s="1"/>
  <c r="F30" i="7"/>
  <c r="E30" i="7"/>
  <c r="D30" i="7"/>
  <c r="C28" i="7"/>
  <c r="C27" i="7"/>
  <c r="F24" i="7"/>
  <c r="D24" i="7"/>
  <c r="C24" i="7"/>
  <c r="F22" i="7"/>
  <c r="D22" i="7"/>
  <c r="E29" i="7" s="1"/>
  <c r="C22" i="7"/>
  <c r="F17" i="7"/>
  <c r="E17" i="7"/>
  <c r="C17" i="7"/>
  <c r="D17" i="7"/>
  <c r="F10" i="7"/>
  <c r="E10" i="7"/>
  <c r="C10" i="7"/>
  <c r="D27" i="7" s="1"/>
  <c r="D10" i="7"/>
  <c r="F46" i="6"/>
  <c r="C46" i="6"/>
  <c r="B45" i="6"/>
  <c r="B44" i="6"/>
  <c r="G43" i="6"/>
  <c r="D43" i="6"/>
  <c r="B43" i="6"/>
  <c r="D45" i="6" s="1"/>
  <c r="G42" i="6"/>
  <c r="G46" i="6" s="1"/>
  <c r="E42" i="6"/>
  <c r="D42" i="6"/>
  <c r="D46" i="6" s="1"/>
  <c r="B42" i="6"/>
  <c r="D44" i="6" s="1"/>
  <c r="E35" i="4"/>
  <c r="E25" i="4"/>
  <c r="E15" i="4"/>
  <c r="E5" i="4"/>
  <c r="G15" i="10"/>
  <c r="G16" i="10"/>
  <c r="G17" i="10"/>
  <c r="G18" i="10"/>
  <c r="G16" i="1"/>
  <c r="G15" i="1"/>
  <c r="G14" i="1"/>
  <c r="B24" i="1"/>
  <c r="B20" i="1"/>
  <c r="B73" i="5" l="1"/>
  <c r="B23" i="3"/>
  <c r="B39" i="3"/>
  <c r="B41" i="3" s="1"/>
  <c r="C33" i="3"/>
  <c r="C5" i="6"/>
  <c r="E33" i="3"/>
  <c r="E35" i="3" s="1"/>
  <c r="C7" i="6"/>
  <c r="E7" i="6" s="1"/>
  <c r="D16" i="1" s="1"/>
  <c r="C6" i="6"/>
  <c r="C4" i="6"/>
  <c r="F33" i="3"/>
  <c r="F35" i="3" s="1"/>
  <c r="D33" i="3"/>
  <c r="D35" i="3" s="1"/>
  <c r="B64" i="5"/>
  <c r="B74" i="5"/>
  <c r="B75" i="5" s="1"/>
  <c r="E27" i="7"/>
  <c r="E22" i="7"/>
  <c r="E28" i="7"/>
  <c r="D33" i="7"/>
  <c r="E41" i="7" s="1"/>
  <c r="D35" i="7"/>
  <c r="D28" i="7"/>
  <c r="D29" i="7"/>
  <c r="E33" i="7"/>
  <c r="F41" i="7" s="1"/>
  <c r="E35" i="7"/>
  <c r="B46" i="6"/>
  <c r="G44" i="6"/>
  <c r="G7" i="6" l="1"/>
  <c r="E6" i="6"/>
  <c r="E45" i="6"/>
  <c r="E5" i="6"/>
  <c r="E44" i="6"/>
  <c r="G33" i="3"/>
  <c r="C35" i="3"/>
  <c r="G35" i="3" s="1"/>
  <c r="E4" i="6"/>
  <c r="E43" i="6"/>
  <c r="B69" i="5"/>
  <c r="B68" i="5"/>
  <c r="B67" i="5"/>
  <c r="B70" i="5"/>
  <c r="F29" i="7"/>
  <c r="F35" i="7"/>
  <c r="F33" i="7"/>
  <c r="F36" i="7"/>
  <c r="F27" i="7"/>
  <c r="F28" i="7"/>
  <c r="F40" i="7"/>
  <c r="F34" i="7"/>
  <c r="C44" i="7"/>
  <c r="D13" i="1" l="1"/>
  <c r="G4" i="6"/>
  <c r="B10" i="6"/>
  <c r="B12" i="6" s="1"/>
  <c r="D15" i="1"/>
  <c r="G6" i="6"/>
  <c r="G5" i="6"/>
  <c r="D14" i="1"/>
  <c r="G45" i="6"/>
  <c r="E46" i="6"/>
  <c r="F16" i="1"/>
  <c r="H7" i="6"/>
  <c r="B16" i="1"/>
  <c r="F15" i="1" l="1"/>
  <c r="H6" i="6"/>
  <c r="B15" i="1"/>
  <c r="H5" i="6"/>
  <c r="B14" i="1"/>
  <c r="F14" i="1"/>
  <c r="B13" i="6" a="1"/>
  <c r="B13" i="6" s="1"/>
  <c r="B14" i="6" a="1"/>
  <c r="B14" i="6" s="1"/>
  <c r="B18" i="6" s="1"/>
  <c r="B20" i="6" s="1"/>
  <c r="B21" i="6" s="1"/>
  <c r="B21" i="1" s="1"/>
  <c r="B13" i="1"/>
  <c r="H4" i="6"/>
  <c r="F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<sst xmlns="http://schemas.openxmlformats.org/spreadsheetml/2006/main" count="741" uniqueCount="488">
  <si>
    <t>QUARTERLY TAX CALCULATOR PRO 2024</t>
  </si>
  <si>
    <t>¬© 2024 E&amp;N Tax &amp; Accounting</t>
  </si>
  <si>
    <t>KEY METRICS</t>
  </si>
  <si>
    <t>Total Annual Tax Due:</t>
  </si>
  <si>
    <t>Safe Harbor Amount:</t>
  </si>
  <si>
    <t>Payments Made YTD:</t>
  </si>
  <si>
    <t>Next Payment Due:</t>
  </si>
  <si>
    <t>Next Due Date:</t>
  </si>
  <si>
    <t>PAYMENT STATUS</t>
  </si>
  <si>
    <t>Quarter</t>
  </si>
  <si>
    <t>Status</t>
  </si>
  <si>
    <t>Due Date</t>
  </si>
  <si>
    <t>Amount Due</t>
  </si>
  <si>
    <t>Amount Paid</t>
  </si>
  <si>
    <t>Balance</t>
  </si>
  <si>
    <t>Days Until Due</t>
  </si>
  <si>
    <t>Q1 2024</t>
  </si>
  <si>
    <t>Q2 2024</t>
  </si>
  <si>
    <t>Q3 2024</t>
  </si>
  <si>
    <t>Q4 2024</t>
  </si>
  <si>
    <t>ALERTS &amp; NOTIFICATIONS</t>
  </si>
  <si>
    <t>Safe Harbor Status:</t>
  </si>
  <si>
    <t>Payment Alert:</t>
  </si>
  <si>
    <t>Penalty Risk:</t>
  </si>
  <si>
    <t>YEAR PROGRESS</t>
  </si>
  <si>
    <t>Year Progress:</t>
  </si>
  <si>
    <t>Payments Made:</t>
  </si>
  <si>
    <t>QUICK ACTIONS</t>
  </si>
  <si>
    <t>[Run Setup Wizard]</t>
  </si>
  <si>
    <t>[Refresh Calculations]</t>
  </si>
  <si>
    <t>[Export Vouchers]</t>
  </si>
  <si>
    <t>[Generate Report]</t>
  </si>
  <si>
    <t>[View Help]</t>
  </si>
  <si>
    <t>For consultation use</t>
  </si>
  <si>
    <t>Tax Professional Notes:</t>
  </si>
  <si>
    <t>Enter any special tax situations</t>
  </si>
  <si>
    <t>Special Circumstances:</t>
  </si>
  <si>
    <t>NOTES &amp; ADJUSTMENTS</t>
  </si>
  <si>
    <t>Other Tax Payments</t>
  </si>
  <si>
    <t>State Withholding</t>
  </si>
  <si>
    <t>Federal Withholding (W-2)</t>
  </si>
  <si>
    <t>Q4</t>
  </si>
  <si>
    <t>Q3</t>
  </si>
  <si>
    <t>Q2</t>
  </si>
  <si>
    <t>Q1</t>
  </si>
  <si>
    <t>QUARTERLY ESTIMATED DETAILS</t>
  </si>
  <si>
    <t>Total Home Square Feet:</t>
  </si>
  <si>
    <t>Enter if claiming home office</t>
  </si>
  <si>
    <t>Home Office Square Feet:</t>
  </si>
  <si>
    <t>(Dropdown: Cash Accrual)</t>
  </si>
  <si>
    <t>Cash</t>
  </si>
  <si>
    <t>Accounting Method:</t>
  </si>
  <si>
    <t>Business Start Date:</t>
  </si>
  <si>
    <t>BUSINESS INFORMATION</t>
  </si>
  <si>
    <t>Enter total of other credits</t>
  </si>
  <si>
    <t>Other Credits:</t>
  </si>
  <si>
    <t>Enter qualifying amount</t>
  </si>
  <si>
    <t>Child Tax Credit:</t>
  </si>
  <si>
    <t>TAX CREDITS</t>
  </si>
  <si>
    <t>If self-employed enter premiums</t>
  </si>
  <si>
    <t>Self-Employed Health Insurance:</t>
  </si>
  <si>
    <t>Health Savings Account contributions</t>
  </si>
  <si>
    <t>HSA Contributions:</t>
  </si>
  <si>
    <t>Enter only if itemizing</t>
  </si>
  <si>
    <t>Itemized Deductions:</t>
  </si>
  <si>
    <t>2024 amount for Single filer</t>
  </si>
  <si>
    <t>Standard Deduction:</t>
  </si>
  <si>
    <t>ANNUAL DEDUCTIONS</t>
  </si>
  <si>
    <t>Retirement Contributions</t>
  </si>
  <si>
    <t>Other Income</t>
  </si>
  <si>
    <t>Business Expenses</t>
  </si>
  <si>
    <t>Business Income</t>
  </si>
  <si>
    <t>Total</t>
  </si>
  <si>
    <t>CURRENT YEAR QUARTERLY PROJECTIONS</t>
  </si>
  <si>
    <t>Enter positive for refund negative for balance due</t>
  </si>
  <si>
    <t>Prior Year Refund/Balance Due:</t>
  </si>
  <si>
    <t>Prior Year Estimated Payments Made:</t>
  </si>
  <si>
    <t>Enter from Line 24 of Form 1040</t>
  </si>
  <si>
    <t>Prior Year Total Tax:</t>
  </si>
  <si>
    <t>Enter from Line 11 of Form 1040</t>
  </si>
  <si>
    <t>Prior Year (2023) AGI:</t>
  </si>
  <si>
    <t>PRIOR YEAR TAX INFORMATION</t>
  </si>
  <si>
    <t>Number of Dependents:</t>
  </si>
  <si>
    <t>Tax Year:</t>
  </si>
  <si>
    <t>(Dropdown: Sole Prop, S-Corp, Partnership)</t>
  </si>
  <si>
    <t>Sole Prop</t>
  </si>
  <si>
    <t>Primary Business Type:</t>
  </si>
  <si>
    <t>(Dropdown: All 50 states)</t>
  </si>
  <si>
    <t>CA</t>
  </si>
  <si>
    <t>State of Residence:</t>
  </si>
  <si>
    <t>(Dropdown: Single, MFJ, MFS, HOH)</t>
  </si>
  <si>
    <t>Single</t>
  </si>
  <si>
    <t>Filing Status:</t>
  </si>
  <si>
    <t>PERSONAL INFORMATION</t>
  </si>
  <si>
    <t>FEDERAL ESTIMATED TAX CALCULATIONS</t>
  </si>
  <si>
    <t>INCOME CALCULATIONS</t>
  </si>
  <si>
    <t>Total Projected Income:</t>
  </si>
  <si>
    <t>Less: Business Expenses:</t>
  </si>
  <si>
    <t>Net Business Income:</t>
  </si>
  <si>
    <t>Less: Retirement Contributions:</t>
  </si>
  <si>
    <t>Adjusted Gross Income:</t>
  </si>
  <si>
    <t>Less: Standard/Itemized Deduction:</t>
  </si>
  <si>
    <t>Taxable Income:</t>
  </si>
  <si>
    <t>TAX CALCULATIONS</t>
  </si>
  <si>
    <t>Regular Income Tax:</t>
  </si>
  <si>
    <t>Self-Employment Tax:</t>
  </si>
  <si>
    <t>Additional Medicare Tax:</t>
  </si>
  <si>
    <t>Total Federal Tax:</t>
  </si>
  <si>
    <t>Less: Tax Credits:</t>
  </si>
  <si>
    <t>Net Federal Tax Due:</t>
  </si>
  <si>
    <t>SAFE HARBOR CALCULATIONS</t>
  </si>
  <si>
    <t>100% Prior Year Method:</t>
  </si>
  <si>
    <t>110% Prior Year Method:</t>
  </si>
  <si>
    <t>90% Current Year Method:</t>
  </si>
  <si>
    <t>QUARTERLY PAYMENT CALCULATIONS</t>
  </si>
  <si>
    <t>Annual Safe Harbor Amount:</t>
  </si>
  <si>
    <t>Less: Federal Withholding:</t>
  </si>
  <si>
    <t>Remaining to Pay:</t>
  </si>
  <si>
    <t>Quarterly Payment Amount:</t>
  </si>
  <si>
    <t>PAYMENT SCHEDULE</t>
  </si>
  <si>
    <t>Federal Payment Required</t>
  </si>
  <si>
    <t>State Payment Required</t>
  </si>
  <si>
    <t>Total Quarterly Payment</t>
  </si>
  <si>
    <t>EFFECTIVE TAX RATE ANALYSIS</t>
  </si>
  <si>
    <t>Gross Income:</t>
  </si>
  <si>
    <t>Total Tax (Fed + State):</t>
  </si>
  <si>
    <t>Effective Tax Rate:</t>
  </si>
  <si>
    <t>After-Tax Income:</t>
  </si>
  <si>
    <t>MARGINAL TAX BRACKET</t>
  </si>
  <si>
    <t>Current Tax Bracket:</t>
  </si>
  <si>
    <t>Income to Next Bracket:</t>
  </si>
  <si>
    <t>2024 FEDERAL TAX BRACKETS</t>
  </si>
  <si>
    <t>SINGLE FILERS</t>
  </si>
  <si>
    <t>Income Range</t>
  </si>
  <si>
    <t>Tax Rate</t>
  </si>
  <si>
    <t>Base Tax</t>
  </si>
  <si>
    <t>Income Over</t>
  </si>
  <si>
    <t>Tax Formula</t>
  </si>
  <si>
    <t>$0 - $11000</t>
  </si>
  <si>
    <t>$11001 - $44725</t>
  </si>
  <si>
    <t>=$1100+(Income-$11000)*0.12</t>
  </si>
  <si>
    <t>$44726 - $95375</t>
  </si>
  <si>
    <t>=$5147+(Income-$44725)*0.22</t>
  </si>
  <si>
    <t>$95376 - $182050</t>
  </si>
  <si>
    <t>=$16290+(Income-$95375)*0.24</t>
  </si>
  <si>
    <t>$182051 - $231250</t>
  </si>
  <si>
    <t>=$37104+(Income-$182050)*0.32</t>
  </si>
  <si>
    <t>$231251 - $578125</t>
  </si>
  <si>
    <t>=$52832+(Income-$231250)*0.35</t>
  </si>
  <si>
    <t>$578126+</t>
  </si>
  <si>
    <t>=$174238.25+(Income-$578125)*0.37</t>
  </si>
  <si>
    <t>MARRIED FILING JOINTLY</t>
  </si>
  <si>
    <t>$0 - $22000</t>
  </si>
  <si>
    <t>$22001 - $89450</t>
  </si>
  <si>
    <t>=$2200+(Income-$22000)*0.12</t>
  </si>
  <si>
    <t>$89451 - $190750</t>
  </si>
  <si>
    <t>=$10294+(Income-$89450)*0.22</t>
  </si>
  <si>
    <t>$190751 - $364200</t>
  </si>
  <si>
    <t>=$32580+(Income-$190750)*0.24</t>
  </si>
  <si>
    <t>$364201 - $462500</t>
  </si>
  <si>
    <t>=$74208+(Income-$364200)*0.32</t>
  </si>
  <si>
    <t>$462501 - $693750</t>
  </si>
  <si>
    <t>=$105664+(Income-$462500)*0.35</t>
  </si>
  <si>
    <t>$693751+</t>
  </si>
  <si>
    <t>=$186601.25+(Income-$693750)*0.37</t>
  </si>
  <si>
    <t>MARRIED FILING SEPARATELY</t>
  </si>
  <si>
    <t>$231251 - $346875</t>
  </si>
  <si>
    <t>$346876+</t>
  </si>
  <si>
    <t>=$93300.75+(Income-$346875)*0.37</t>
  </si>
  <si>
    <t>HEAD OF HOUSEHOLD</t>
  </si>
  <si>
    <t>$0 - $15700</t>
  </si>
  <si>
    <t>$15701 - $59850</t>
  </si>
  <si>
    <t>=$1570+(Income-$15700)*0.12</t>
  </si>
  <si>
    <t>$59851 - $95350</t>
  </si>
  <si>
    <t>=$6868+(Income-$59850)*0.22</t>
  </si>
  <si>
    <t>$95351 - $182050</t>
  </si>
  <si>
    <t>=$14678+(Income-$95350)*0.24</t>
  </si>
  <si>
    <t>=$35498+(Income-$182050)*0.32</t>
  </si>
  <si>
    <t>$231251 - $578100</t>
  </si>
  <si>
    <t>=$51226+(Income-$231250)*0.35</t>
  </si>
  <si>
    <t>$578101+</t>
  </si>
  <si>
    <t>=$172623.50+(Income-$578100)*0.37</t>
  </si>
  <si>
    <t>STANDARD DEDUCTIONS 2024</t>
  </si>
  <si>
    <t>Filing Status</t>
  </si>
  <si>
    <t>Amount</t>
  </si>
  <si>
    <t>Married Filing Jointly</t>
  </si>
  <si>
    <t>Married Filing Separately</t>
  </si>
  <si>
    <t>Head of Household</t>
  </si>
  <si>
    <t>SELF-EMPLOYMENT TAX</t>
  </si>
  <si>
    <t>Social Security Rate</t>
  </si>
  <si>
    <t>Wage Base: $168,600</t>
  </si>
  <si>
    <t>Medicare Rate</t>
  </si>
  <si>
    <t>No wage limit</t>
  </si>
  <si>
    <t>SE Tax Rate</t>
  </si>
  <si>
    <t>Applied to 92.35% of SE income</t>
  </si>
  <si>
    <t>Additional Medicare</t>
  </si>
  <si>
    <t>Income over $200k (Single) or $250k (MFJ)</t>
  </si>
  <si>
    <t>STATE TAX CALCULATIONS</t>
  </si>
  <si>
    <t>STATE TAX RATES &amp; DEDUCTIONS (2024)</t>
  </si>
  <si>
    <t>State</t>
  </si>
  <si>
    <t>Standard Deduction</t>
  </si>
  <si>
    <t>Type</t>
  </si>
  <si>
    <t>Notes</t>
  </si>
  <si>
    <t>AL</t>
  </si>
  <si>
    <t>Flat</t>
  </si>
  <si>
    <t>Standard deduction for single</t>
  </si>
  <si>
    <t>AK</t>
  </si>
  <si>
    <t>None</t>
  </si>
  <si>
    <t>No state income tax</t>
  </si>
  <si>
    <t>AZ</t>
  </si>
  <si>
    <t>2024 flat rate</t>
  </si>
  <si>
    <t>AR</t>
  </si>
  <si>
    <t>Progressive</t>
  </si>
  <si>
    <t>Top rate shown</t>
  </si>
  <si>
    <t>Top rate shown - actual varies by income</t>
  </si>
  <si>
    <t>CO</t>
  </si>
  <si>
    <t>Flat rate tax</t>
  </si>
  <si>
    <t>CT</t>
  </si>
  <si>
    <t>DE</t>
  </si>
  <si>
    <t>FL</t>
  </si>
  <si>
    <t>GA</t>
  </si>
  <si>
    <t>Single filer deduction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</si>
  <si>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</si>
  <si>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</si>
  <si>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</si>
  <si>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</si>
  <si>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</si>
  <si>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</si>
  <si>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</si>
  <si>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</si>
  <si>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</si>
  <si>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</si>
  <si>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</si>
  <si>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</si>
  <si>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</si>
  <si>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</si>
  <si>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</si>
  <si>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</si>
  <si>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</si>
  <si>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</si>
  <si>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</si>
  <si>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No earned income tax - dividends/interest only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</si>
  <si>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</si>
  <si>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</si>
  <si>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</si>
  <si>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</si>
  <si>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</si>
  <si>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</si>
  <si>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</si>
  <si>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</si>
  <si>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</si>
  <si>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</si>
  <si>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</si>
  <si>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</si>
  <si>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</si>
  <si>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No earned income tax</t>
  </si>
  <si>
    <t>TX</t>
  </si>
  <si>
    <t>UT</t>
  </si>
  <si>
    <t>VT</t>
  </si>
  <si>
    <t>VA</t>
  </si>
  <si>
    <t>WA</t>
  </si>
  <si>
    <t>WV</t>
  </si>
  <si>
    <t>WI</t>
  </si>
  <si>
    <t>WY</t>
  </si>
  <si>
    <t>DC</t>
  </si>
  <si>
    <t>CURRENT STATE CALCULATION</t>
  </si>
  <si>
    <t>Selected State:</t>
  </si>
  <si>
    <t>State Tax Rate:</t>
  </si>
  <si>
    <t>State Standard Deduction:</t>
  </si>
  <si>
    <t>Taxable Income (State):</t>
  </si>
  <si>
    <t>State Tax Due:</t>
  </si>
  <si>
    <t>Less: State Withholding:</t>
  </si>
  <si>
    <t>Net State Tax Due:</t>
  </si>
  <si>
    <t>QUARTERLY STATE PAYMENTS</t>
  </si>
  <si>
    <t>Q1 State Payment:</t>
  </si>
  <si>
    <t>Q2 State Payment:</t>
  </si>
  <si>
    <t>Q3 State Payment:</t>
  </si>
  <si>
    <t>Q4 State Payment:</t>
  </si>
  <si>
    <t>COMBINED TAX SUMMARY</t>
  </si>
  <si>
    <t>Total State Tax:</t>
  </si>
  <si>
    <t>Total Tax Liability:</t>
  </si>
  <si>
    <t>Combined Effective Rate:</t>
  </si>
  <si>
    <t>PAYMENT TRACKER &amp; SCHEDULE</t>
  </si>
  <si>
    <t>Federal Due</t>
  </si>
  <si>
    <t>State Due</t>
  </si>
  <si>
    <t>Total Due</t>
  </si>
  <si>
    <t>Balance Due</t>
  </si>
  <si>
    <t>PAYMENT SUMMARY</t>
  </si>
  <si>
    <t>Total Payments Due:</t>
  </si>
  <si>
    <t>Total Payments Made:</t>
  </si>
  <si>
    <t>Remaining Balance:</t>
  </si>
  <si>
    <t>PENALTY CALCULATIONS</t>
  </si>
  <si>
    <t>Days Late (Next Payment):</t>
  </si>
  <si>
    <t>Penalty Rate (Annual):</t>
  </si>
  <si>
    <t>2024 IRS underpayment rate</t>
  </si>
  <si>
    <t>Penalty Amount:</t>
  </si>
  <si>
    <t>Total Amount Due:</t>
  </si>
  <si>
    <t>PAYMENT HISTORY LOG</t>
  </si>
  <si>
    <t>Date</t>
  </si>
  <si>
    <t>Method</t>
  </si>
  <si>
    <t>Confirmation #</t>
  </si>
  <si>
    <t>PAYMENT METHODS &amp; INSTRUCTIONS</t>
  </si>
  <si>
    <t>Federal Payments:</t>
  </si>
  <si>
    <t>Option 1:</t>
  </si>
  <si>
    <t>IRS Direct Pay</t>
  </si>
  <si>
    <t>www.irs.gov/directpay</t>
  </si>
  <si>
    <t>Option 2:</t>
  </si>
  <si>
    <t>EFTPS</t>
  </si>
  <si>
    <t>www.eftps.gov</t>
  </si>
  <si>
    <t>Option 3:</t>
  </si>
  <si>
    <t>Check/Money Order</t>
  </si>
  <si>
    <t>Payable to: United States Treasury</t>
  </si>
  <si>
    <t>State Payments:</t>
  </si>
  <si>
    <t>Website:</t>
  </si>
  <si>
    <t>Check your state tax website</t>
  </si>
  <si>
    <t>Mail:</t>
  </si>
  <si>
    <t>Check state tax forms for address</t>
  </si>
  <si>
    <t>ESTIMATED VS ACTUAL RECONCILIATION</t>
  </si>
  <si>
    <t>Estimated Income</t>
  </si>
  <si>
    <t>Actual Income</t>
  </si>
  <si>
    <t>Variance</t>
  </si>
  <si>
    <t>Estimated Tax</t>
  </si>
  <si>
    <t>Actual Tax</t>
  </si>
  <si>
    <t>Adjustment</t>
  </si>
  <si>
    <t>SCENARIO PLANNING &amp; WHAT-IF ANALYSIS</t>
  </si>
  <si>
    <t>SCENARIO COMPARISON</t>
  </si>
  <si>
    <t>Current</t>
  </si>
  <si>
    <t>Scenario 1</t>
  </si>
  <si>
    <t>Scenario 2</t>
  </si>
  <si>
    <t>Scenario 3</t>
  </si>
  <si>
    <t>Scenario Name:</t>
  </si>
  <si>
    <t>Baseline</t>
  </si>
  <si>
    <t>Conservative</t>
  </si>
  <si>
    <t>Aggressive</t>
  </si>
  <si>
    <t>Tax Optimized</t>
  </si>
  <si>
    <t>INCOME PROJECTIONS</t>
  </si>
  <si>
    <t>Annual Business Income:</t>
  </si>
  <si>
    <t>Business Expenses:</t>
  </si>
  <si>
    <t>Other Income:</t>
  </si>
  <si>
    <t>Net Income:</t>
  </si>
  <si>
    <t>DEDUCTIONS &amp; CREDITS</t>
  </si>
  <si>
    <t>Retirement Contributions:</t>
  </si>
  <si>
    <t>Health Insurance:</t>
  </si>
  <si>
    <t>Home Office Deduction:</t>
  </si>
  <si>
    <t>Other Deductions:</t>
  </si>
  <si>
    <t>Total Deductions:</t>
  </si>
  <si>
    <t>Federal Income Tax:</t>
  </si>
  <si>
    <t>State Income Tax:</t>
  </si>
  <si>
    <t>Total Tax:</t>
  </si>
  <si>
    <t>FINANCIAL IMPACT</t>
  </si>
  <si>
    <t>Tax Savings vs Current:</t>
  </si>
  <si>
    <t>% Tax Savings:</t>
  </si>
  <si>
    <t>QUARTERLY PAYMENTS</t>
  </si>
  <si>
    <t>Q1 Payment:</t>
  </si>
  <si>
    <t>Q2 Payment:</t>
  </si>
  <si>
    <t>Q3 Payment:</t>
  </si>
  <si>
    <t>Q4 Payment:</t>
  </si>
  <si>
    <t>CASH FLOW IMPACT</t>
  </si>
  <si>
    <t>Monthly After-Tax Income:</t>
  </si>
  <si>
    <t>Monthly Tax Reserve:</t>
  </si>
  <si>
    <t>Monthly Net Cash Flow:</t>
  </si>
  <si>
    <t>RECOMMENDATIONS</t>
  </si>
  <si>
    <t>Best Scenario:</t>
  </si>
  <si>
    <t>Tax Optimization Tips:</t>
  </si>
  <si>
    <t>See recommendations below based on scenarios</t>
  </si>
  <si>
    <t>SCENARIO NOTES</t>
  </si>
  <si>
    <t>Current:</t>
  </si>
  <si>
    <t>Your actual projected numbers</t>
  </si>
  <si>
    <t>Scenario 1:</t>
  </si>
  <si>
    <t>Conservative income projection</t>
  </si>
  <si>
    <t>Scenario 2:</t>
  </si>
  <si>
    <t>Aggressive growth projection</t>
  </si>
  <si>
    <t>Scenario 3:</t>
  </si>
  <si>
    <t>Maximum tax-saving strategies</t>
  </si>
  <si>
    <t>FORM 1040-ES PAYMENT VOUCHERS</t>
  </si>
  <si>
    <t>VOUCHER 1 - QUARTER 1 2024</t>
  </si>
  <si>
    <t>Form 1040-ES</t>
  </si>
  <si>
    <t>Department of the Treasury</t>
  </si>
  <si>
    <t>2024 Estimated Tax Payment Voucher</t>
  </si>
  <si>
    <t>Internal Revenue Service</t>
  </si>
  <si>
    <t>Your first name and initial:</t>
  </si>
  <si>
    <t>______________________</t>
  </si>
  <si>
    <t>Last name:</t>
  </si>
  <si>
    <t>Your social security number:</t>
  </si>
  <si>
    <t>___ ___ ___ - ___ ___ - ___ ___ ___ ___</t>
  </si>
  <si>
    <t>Spouse's first name and initial:</t>
  </si>
  <si>
    <t>Spouse's social security number:</t>
  </si>
  <si>
    <t>Address:</t>
  </si>
  <si>
    <t>____________________________________________</t>
  </si>
  <si>
    <t>City State ZIP:</t>
  </si>
  <si>
    <t>Period:</t>
  </si>
  <si>
    <t>1st Quarter - Due January 15 2024</t>
  </si>
  <si>
    <t>Amount of payment:</t>
  </si>
  <si>
    <t>$</t>
  </si>
  <si>
    <t>Make check payable to:</t>
  </si>
  <si>
    <t>United States Treasury</t>
  </si>
  <si>
    <t>Write on memo line:</t>
  </si>
  <si>
    <t>2024 Form 1040-ES</t>
  </si>
  <si>
    <t>Mail to:</t>
  </si>
  <si>
    <t>Check instructions for your state</t>
  </si>
  <si>
    <t>------- Cut along this line -------</t>
  </si>
  <si>
    <t>VOUCHER 2 - QUARTER 2 2024</t>
  </si>
  <si>
    <t>2nd Quarter - Due June 17 2024</t>
  </si>
  <si>
    <t>VOUCHER 3 - QUARTER 3 2024</t>
  </si>
  <si>
    <t>3rd Quarter - Due September 16 2024</t>
  </si>
  <si>
    <t>VOUCHER 4 - QUARTER 4 2024</t>
  </si>
  <si>
    <t>4th Quarter - Due January 15 2025</t>
  </si>
  <si>
    <t>QUARTERLY TAX CALCULATOR PRO - USER GUIDE</t>
  </si>
  <si>
    <t>QUICK START GUIDE</t>
  </si>
  <si>
    <t>STEP 1: ENTER PERSONAL INFORMATION</t>
  </si>
  <si>
    <t>1. Go to the 'Input Data' sheet</t>
  </si>
  <si>
    <t>2. Select your Filing Status from the dropdown (Single, MFJ, MFS, HOH)</t>
  </si>
  <si>
    <t>3. Select your State of Residence from the dropdown</t>
  </si>
  <si>
    <t>4. Enter your business type if self-employed</t>
  </si>
  <si>
    <t>5. Enter number of dependents</t>
  </si>
  <si>
    <t>STEP 2: ENTER PRIOR YEAR TAX INFORMATION</t>
  </si>
  <si>
    <t>1. Find your prior year tax return (Form 1040)</t>
  </si>
  <si>
    <t>2. Enter AGI from Line 11</t>
  </si>
  <si>
    <t>3. Enter Total Tax from Line 24</t>
  </si>
  <si>
    <t>4. Enter any estimated payments you made</t>
  </si>
  <si>
    <t>5. Enter refund received (positive) or balance due (negative)</t>
  </si>
  <si>
    <t>STEP 3: PROJECT CURRENT YEAR INCOME</t>
  </si>
  <si>
    <t>1. Enter expected income for each quarter</t>
  </si>
  <si>
    <t>2. Enter expected business expenses by quarter</t>
  </si>
  <si>
    <t>3. Enter other income sources</t>
  </si>
  <si>
    <t>4. Enter retirement contributions planned</t>
  </si>
  <si>
    <t>Note: Be conservative - it's better to overestimate tax</t>
  </si>
  <si>
    <t>STEP 4: REVIEW DASHBOARD</t>
  </si>
  <si>
    <t>1. Check your total estimated tax due</t>
  </si>
  <si>
    <t>2. Verify safe harbor amount is met</t>
  </si>
  <si>
    <t>3. Note payment amounts and due dates</t>
  </si>
  <si>
    <t>4. Review any alerts or warnings</t>
  </si>
  <si>
    <t>STEP 5: MAKE PAYMENTS</t>
  </si>
  <si>
    <t>1. Use Payment Tracker to record payments made</t>
  </si>
  <si>
    <t>2. Print vouchers from Vouchers sheet if mailing payments</t>
  </si>
  <si>
    <t>3. Or pay online at IRS.gov/DirectPay</t>
  </si>
  <si>
    <t>4. Don't forget state estimated payments!</t>
  </si>
  <si>
    <t>FREQUENTLY ASKED QUESTIONS</t>
  </si>
  <si>
    <t>Q: What is safe harbor?</t>
  </si>
  <si>
    <t>A: Safe harbor protects you from underpayment penalties. You meet it by paying:</t>
  </si>
  <si>
    <t xml:space="preserve">   - 100% of prior year tax (110% if prior AGI &gt; $150,000), OR</t>
  </si>
  <si>
    <t xml:space="preserve">   - 90% of current year tax</t>
  </si>
  <si>
    <t>Q: When are quarterly payments due?</t>
  </si>
  <si>
    <t>A: 2024 Payment Due Dates:</t>
  </si>
  <si>
    <t xml:space="preserve">   - Q1: January 15 2024</t>
  </si>
  <si>
    <t xml:space="preserve">   - Q2: June 17 2024 (not April 15!)</t>
  </si>
  <si>
    <t xml:space="preserve">   - Q3: September 16 2024</t>
  </si>
  <si>
    <t xml:space="preserve">   - Q4: January 15 2025</t>
  </si>
  <si>
    <t>Q: How do I avoid penalties?</t>
  </si>
  <si>
    <t>A: Three key strategies:</t>
  </si>
  <si>
    <t xml:space="preserve">   1. Make payments by due dates</t>
  </si>
  <si>
    <t xml:space="preserve">   2. Meet safe harbor requirements</t>
  </si>
  <si>
    <t xml:space="preserve">   3. Pay at least 90% of actual tax due</t>
  </si>
  <si>
    <t>Q: Should I pay federal and state together?</t>
  </si>
  <si>
    <t>A: No, pay separately:</t>
  </si>
  <si>
    <t xml:space="preserve">   - Federal: Pay to United States Treasury</t>
  </si>
  <si>
    <t xml:space="preserve">   - State: Pay to your state tax authority</t>
  </si>
  <si>
    <t>Q: What if my income changes during the year?</t>
  </si>
  <si>
    <t>A: Update projections in Input Data sheet and:</t>
  </si>
  <si>
    <t xml:space="preserve">   - Increase remaining payments if income goes up</t>
  </si>
  <si>
    <t xml:space="preserve">   - Can reduce if income drops (but be careful!)</t>
  </si>
  <si>
    <t xml:space="preserve">   - Use Scenarios sheet to test different options</t>
  </si>
  <si>
    <t>Q: Do I need to file quarterly returns?</t>
  </si>
  <si>
    <t>A: No, you just make payments. File annual return.</t>
  </si>
  <si>
    <t>UNDERSTANDING THE CALCULATIONS</t>
  </si>
  <si>
    <t>Federal Tax Calculation:</t>
  </si>
  <si>
    <t>1. Total Income - Business Expenses = Net Income</t>
  </si>
  <si>
    <t>2. Net Income - Deductions = Taxable Income</t>
  </si>
  <si>
    <t>3. Apply tax brackets to get Income Tax</t>
  </si>
  <si>
    <t>4. Add Self-Employment Tax (15.3% of 92.35% of net SE income)</t>
  </si>
  <si>
    <t>5. Subtract any credits</t>
  </si>
  <si>
    <t>- Social Security: 12.4% on first $168600 (2024)</t>
  </si>
  <si>
    <t>- Medicare: 2.9% on all income</t>
  </si>
  <si>
    <t>- Additional Medicare: 0.9% over $200k (single) or $250k (MFJ)</t>
  </si>
  <si>
    <t>TIPS FOR SUCCESS</t>
  </si>
  <si>
    <t>1. Update quarterly as you get actual numbers</t>
  </si>
  <si>
    <t>2. Set aside tax money in separate account</t>
  </si>
  <si>
    <t>3. Pay a little extra to create cushion</t>
  </si>
  <si>
    <t>4. Keep records of all payments made</t>
  </si>
  <si>
    <t>5. Review scenarios for tax planning opportunities</t>
  </si>
  <si>
    <t>TECHNICAL SUPPORT</t>
  </si>
  <si>
    <t>E&amp;N Tax &amp; Accounting</t>
  </si>
  <si>
    <t>Email: info@entaxaccounting.com</t>
  </si>
  <si>
    <t>DISCLAIMER</t>
  </si>
  <si>
    <t>This calculator is for educational purposes only.</t>
  </si>
  <si>
    <t>Not a substitute for professional tax advice.</t>
  </si>
  <si>
    <t>Consult a tax professional for complex situations.</t>
  </si>
  <si>
    <t>Version 1.0 - 2024 Tax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</si>
</sst>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9" fontId="0" fillId="0" borderId="0" xfId="0" applyNumberFormat="1"/>
    <xf numFmtId="6" fontId="0" fillId="0" borderId="0" xfId="0" applyNumberFormat="1"/>
    <xf numFmtId="8" fontId="0" fillId="0" borderId="0" xfId="0" applyNumberFormat="1"/>
    <xf numFmtId="10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yment%20Track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put%20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cula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ment Track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5EAB-E275-9B40-AF3B-2CC4A258ACDA}">
  <dimension ref="A1:G28"/>
  <sheetViews>
    <sheetView tabSelected="1" workbookViewId="0">
      <selection activeCell="B20" sqref="B20"/>
    </sheetView>
  </sheetViews>
  <sheetFormatPr baseColWidth="10" defaultRowHeight="16" x14ac:dyDescent="0.2"/>
  <cols>
    <col min="1" max="1" width="33.83203125" bestFit="1" customWidth="1"/>
    <col min="2" max="2" width="27.1640625" bestFit="1" customWidth="1"/>
    <col min="3" max="3" width="15.1640625" bestFit="1" customWidth="1"/>
    <col min="4" max="4" width="28.5" bestFit="1" customWidth="1"/>
    <col min="5" max="5" width="11.1640625" bestFit="1" customWidth="1"/>
    <col min="6" max="6" width="7.83203125" bestFit="1" customWidth="1"/>
    <col min="7" max="7" width="13" bestFit="1" customWidth="1"/>
    <col min="8" max="10" width="6" bestFit="1" customWidth="1"/>
    <col min="11" max="11" width="7.33203125" bestFit="1" customWidth="1"/>
    <col min="12" max="12" width="26.6640625" bestFit="1" customWidth="1"/>
  </cols>
  <sheetData>
    <row r="1" spans="1:7" x14ac:dyDescent="0.2">
      <c r="A1" t="s">
        <v>0</v>
      </c>
    </row>
    <row r="2" spans="1:7" x14ac:dyDescent="0.2">
      <c r="A2" t="s">
        <v>1</v>
      </c>
    </row>
    <row r="4" spans="1:7" x14ac:dyDescent="0.2">
      <c r="A4" t="s">
        <v>2</v>
      </c>
    </row>
    <row r="5" spans="1:7" x14ac:dyDescent="0.2">
      <c r="A5" t="s">
        <v>3</v>
      </c>
      <c r="B5">
        <f>Calculations!B18</f>
        <v>0</v>
      </c>
    </row>
    <row r="6" spans="1:7" x14ac:dyDescent="0.2">
      <c r="A6" t="s">
        <v>4</v>
      </c>
      <c r="B6">
        <f>Calculations!B24</f>
        <v>0</v>
      </c>
    </row>
    <row r="7" spans="1:7" x14ac:dyDescent="0.2">
      <c r="A7" t="s">
        <v>5</v>
      </c>
      <c r="B7" t="str">
        <f>'Payment Tracker'!B14</f>
        <v>All Paid</v>
      </c>
    </row>
    <row r="8" spans="1:7" x14ac:dyDescent="0.2">
      <c r="A8" t="s">
        <v>6</v>
      </c>
      <c r="B8">
        <f>'Payment Tracker'!B16</f>
        <v>0</v>
      </c>
    </row>
    <row r="9" spans="1:7" x14ac:dyDescent="0.2">
      <c r="A9" t="s">
        <v>7</v>
      </c>
      <c r="B9">
        <f>'Payment Tracker'!B17</f>
        <v>0</v>
      </c>
    </row>
    <row r="11" spans="1:7" x14ac:dyDescent="0.2">
      <c r="A11" t="s">
        <v>8</v>
      </c>
    </row>
    <row r="12" spans="1:7" x14ac:dyDescent="0.2">
      <c r="A12" t="s">
        <v>9</v>
      </c>
      <c r="B12" t="s">
        <v>10</v>
      </c>
      <c r="C12" t="s">
        <v>11</v>
      </c>
      <c r="D12" t="s">
        <v>12</v>
      </c>
      <c r="E12" t="s">
        <v>13</v>
      </c>
      <c r="F12" t="s">
        <v>14</v>
      </c>
      <c r="G12" t="s">
        <v>15</v>
      </c>
    </row>
    <row r="13" spans="1:7" x14ac:dyDescent="0.2">
      <c r="A13" t="s">
        <v>16</v>
      </c>
      <c r="B13" t="str">
        <f ca="1">IF('Payment Tracker'!G4=0,"PAID",IF(TODAY()&gt;'Payment Tracker'!B4,"OVERDUE","DUE"))</f>
        <v>PAID</v>
      </c>
      <c r="C13" s="1">
        <v>45306</v>
      </c>
      <c r="D13">
        <f>'Payment Tracker'!E4</f>
        <v>0</v>
      </c>
      <c r="E13">
        <f>'Payment Tracker'!F4</f>
        <v>0</v>
      </c>
      <c r="F13">
        <f>'Payment Tracker'!G4</f>
        <v>0</v>
      </c>
      <c r="G13" s="1">
        <f ca="1">MAX(0,'Payment Tracker'!B4-TODAY())</f>
        <v>0</v>
      </c>
    </row>
    <row r="14" spans="1:7" x14ac:dyDescent="0.2">
      <c r="A14" t="s">
        <v>17</v>
      </c>
      <c r="B14" t="str">
        <f ca="1">IF('Payment Tracker'!G5=0,"PAID",IF(TODAY()&gt;'Payment Tracker'!B5,"OVERDUE","DUE"))</f>
        <v>PAID</v>
      </c>
      <c r="C14" s="1">
        <v>45460</v>
      </c>
      <c r="D14">
        <f>'Payment Tracker'!E5</f>
        <v>0</v>
      </c>
      <c r="E14">
        <f>'Payment Tracker'!F5</f>
        <v>0</v>
      </c>
      <c r="F14">
        <f>'Payment Tracker'!G5</f>
        <v>0</v>
      </c>
      <c r="G14" s="1" t="e">
        <f ca="1">MAX(0,'[1]Payment Tracker'!B4-TODAY())</f>
        <v>#REF!</v>
      </c>
    </row>
    <row r="15" spans="1:7" x14ac:dyDescent="0.2">
      <c r="A15" t="s">
        <v>18</v>
      </c>
      <c r="B15" t="str">
        <f ca="1">IF('Payment Tracker'!G6=0,"PAID",IF(TODAY()&gt;'Payment Tracker'!B6,"OVERDUE","DUE"))</f>
        <v>PAID</v>
      </c>
      <c r="C15" s="1">
        <v>45551</v>
      </c>
      <c r="D15">
        <f>'Payment Tracker'!E6</f>
        <v>0</v>
      </c>
      <c r="E15">
        <f>'Payment Tracker'!F6</f>
        <v>0</v>
      </c>
      <c r="F15">
        <f>'Payment Tracker'!G6</f>
        <v>0</v>
      </c>
      <c r="G15" s="1" t="e">
        <f ca="1">MAX(0,'[1]Payment Tracker'!B5-TODAY())</f>
        <v>#REF!</v>
      </c>
    </row>
    <row r="16" spans="1:7" x14ac:dyDescent="0.2">
      <c r="A16" t="s">
        <v>19</v>
      </c>
      <c r="B16" t="str">
        <f ca="1">IF('Payment Tracker'!G7=0,"PAID",IF(TODAY()&gt;'Payment Tracker'!B7,"OVERDUE","DUE"))</f>
        <v>PAID</v>
      </c>
      <c r="C16" s="1">
        <v>45672</v>
      </c>
      <c r="D16">
        <f>'Payment Tracker'!E7</f>
        <v>0</v>
      </c>
      <c r="E16">
        <f>'Payment Tracker'!F7</f>
        <v>0</v>
      </c>
      <c r="F16">
        <f>'Payment Tracker'!G7</f>
        <v>0</v>
      </c>
      <c r="G16" s="1" t="e">
        <f ca="1">MAX(0,'[1]Payment Tracker'!B6-TODAY())</f>
        <v>#REF!</v>
      </c>
    </row>
    <row r="18" spans="1:5" x14ac:dyDescent="0.2">
      <c r="A18" t="s">
        <v>20</v>
      </c>
    </row>
    <row r="19" spans="1:5" x14ac:dyDescent="0.2">
      <c r="A19" t="s">
        <v>21</v>
      </c>
      <c r="B19" t="str">
        <f>IF('Payment Tracker'!B14&gt;=Calculations!B24,"‚úì PROTECTED - Safe harbor requirements met","‚ö† AT RISK - Safe harbor not met")</f>
        <v>‚úì PROTECTED - Safe harbor requirements met</v>
      </c>
    </row>
    <row r="20" spans="1:5" x14ac:dyDescent="0.2">
      <c r="A20" t="s">
        <v>22</v>
      </c>
      <c r="B20" t="e">
        <f>IF(COUNTIF('[1]Payment Tracker'!H3:H6,"OVERDUE")&gt;0,"‚ö† OVERDUE PAYMENTS - Penalties accruing",IF(COUNTIF('[1]Payment Tracker'!H3:H6,"DUE")&gt;0,"Payment due soon","All payments current"))</f>
        <v>#VALUE!</v>
      </c>
    </row>
    <row r="21" spans="1:5" x14ac:dyDescent="0.2">
      <c r="A21" t="s">
        <v>23</v>
      </c>
      <c r="B21" t="str">
        <f ca="1">IF('Payment Tracker'!B21&gt;0,"Estimated penalty: "&amp;TEXT('Payment Tracker'!B21,"$#,##0"),"No penalties at this time")</f>
        <v>No penalties at this time</v>
      </c>
    </row>
    <row r="23" spans="1:5" x14ac:dyDescent="0.2">
      <c r="A23" t="s">
        <v>24</v>
      </c>
    </row>
    <row r="24" spans="1:5" x14ac:dyDescent="0.2">
      <c r="A24" t="s">
        <v>25</v>
      </c>
      <c r="B24" t="str">
        <f ca="1">TEXT((MONTH(TODAY())-1)/12,0%)</f>
        <v>0</v>
      </c>
    </row>
    <row r="25" spans="1:5" x14ac:dyDescent="0.2">
      <c r="A25" t="s">
        <v>26</v>
      </c>
      <c r="B25" t="str">
        <f>IF(Calculations!B24&gt;0,TEXT('Payment Tracker'!B14/Calculations!B24,"0%"),"0%")</f>
        <v>0%</v>
      </c>
    </row>
    <row r="27" spans="1:5" x14ac:dyDescent="0.2">
      <c r="A27" t="s">
        <v>27</v>
      </c>
    </row>
    <row r="28" spans="1:5" x14ac:dyDescent="0.2">
      <c r="A28" t="s">
        <v>28</v>
      </c>
      <c r="B28" t="s">
        <v>29</v>
      </c>
      <c r="C28" t="s">
        <v>30</v>
      </c>
      <c r="D28" t="s">
        <v>31</v>
      </c>
      <c r="E28" t="s">
        <v>32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B218-6587-BD4F-90E4-C8C204C2D6B7}">
  <dimension ref="A1:G43"/>
  <sheetViews>
    <sheetView workbookViewId="0">
      <selection activeCell="B15" sqref="B15"/>
    </sheetView>
  </sheetViews>
  <sheetFormatPr baseColWidth="10" defaultRowHeight="16" x14ac:dyDescent="0.2"/>
  <cols>
    <col min="1" max="1" width="36" bestFit="1" customWidth="1"/>
    <col min="2" max="2" width="8.6640625" bestFit="1" customWidth="1"/>
    <col min="3" max="4" width="3.5" bestFit="1" customWidth="1"/>
    <col min="5" max="5" width="40.83203125" bestFit="1" customWidth="1"/>
    <col min="6" max="6" width="3.5" bestFit="1" customWidth="1"/>
    <col min="7" max="7" width="5.1640625" bestFit="1" customWidth="1"/>
  </cols>
  <sheetData>
    <row r="1" spans="1:7" x14ac:dyDescent="0.2">
      <c r="A1" t="s">
        <v>93</v>
      </c>
    </row>
    <row r="2" spans="1:7" x14ac:dyDescent="0.2">
      <c r="A2" t="s">
        <v>92</v>
      </c>
      <c r="B2" t="s">
        <v>91</v>
      </c>
      <c r="E2" t="s">
        <v>90</v>
      </c>
    </row>
    <row r="3" spans="1:7" x14ac:dyDescent="0.2">
      <c r="A3" t="s">
        <v>89</v>
      </c>
      <c r="B3" t="s">
        <v>88</v>
      </c>
      <c r="E3" t="s">
        <v>87</v>
      </c>
    </row>
    <row r="4" spans="1:7" x14ac:dyDescent="0.2">
      <c r="A4" t="s">
        <v>86</v>
      </c>
      <c r="B4" t="s">
        <v>85</v>
      </c>
      <c r="E4" t="s">
        <v>84</v>
      </c>
    </row>
    <row r="5" spans="1:7" x14ac:dyDescent="0.2">
      <c r="A5" t="s">
        <v>83</v>
      </c>
      <c r="B5">
        <v>2024</v>
      </c>
    </row>
    <row r="6" spans="1:7" x14ac:dyDescent="0.2">
      <c r="A6" t="s">
        <v>82</v>
      </c>
      <c r="B6">
        <v>0</v>
      </c>
    </row>
    <row r="8" spans="1:7" x14ac:dyDescent="0.2">
      <c r="A8" t="s">
        <v>81</v>
      </c>
    </row>
    <row r="9" spans="1:7" x14ac:dyDescent="0.2">
      <c r="A9" t="s">
        <v>80</v>
      </c>
      <c r="B9">
        <v>0</v>
      </c>
      <c r="E9" t="s">
        <v>79</v>
      </c>
    </row>
    <row r="10" spans="1:7" x14ac:dyDescent="0.2">
      <c r="A10" t="s">
        <v>78</v>
      </c>
      <c r="B10">
        <v>0</v>
      </c>
      <c r="E10" t="s">
        <v>77</v>
      </c>
    </row>
    <row r="11" spans="1:7" x14ac:dyDescent="0.2">
      <c r="A11" t="s">
        <v>76</v>
      </c>
      <c r="B11">
        <v>0</v>
      </c>
    </row>
    <row r="12" spans="1:7" x14ac:dyDescent="0.2">
      <c r="A12" t="s">
        <v>75</v>
      </c>
      <c r="B12">
        <v>0</v>
      </c>
      <c r="E12" t="s">
        <v>74</v>
      </c>
    </row>
    <row r="14" spans="1:7" x14ac:dyDescent="0.2">
      <c r="A14" t="s">
        <v>73</v>
      </c>
      <c r="C14" t="s">
        <v>44</v>
      </c>
      <c r="D14" t="s">
        <v>43</v>
      </c>
      <c r="E14" t="s">
        <v>42</v>
      </c>
      <c r="F14" t="s">
        <v>41</v>
      </c>
      <c r="G14" t="s">
        <v>72</v>
      </c>
    </row>
    <row r="15" spans="1:7" x14ac:dyDescent="0.2">
      <c r="A15" t="s">
        <v>71</v>
      </c>
      <c r="C15">
        <v>0</v>
      </c>
      <c r="D15">
        <v>0</v>
      </c>
      <c r="E15">
        <v>0</v>
      </c>
      <c r="F15">
        <v>0</v>
      </c>
      <c r="G15">
        <f>SUM(C15:F15)</f>
        <v>0</v>
      </c>
    </row>
    <row r="16" spans="1:7" x14ac:dyDescent="0.2">
      <c r="A16" t="s">
        <v>70</v>
      </c>
      <c r="C16">
        <v>0</v>
      </c>
      <c r="D16">
        <v>0</v>
      </c>
      <c r="E16">
        <v>0</v>
      </c>
      <c r="F16">
        <v>0</v>
      </c>
      <c r="G16">
        <f>SUM(C16:F16)</f>
        <v>0</v>
      </c>
    </row>
    <row r="17" spans="1:7" x14ac:dyDescent="0.2">
      <c r="A17" t="s">
        <v>69</v>
      </c>
      <c r="C17">
        <v>0</v>
      </c>
      <c r="D17">
        <v>0</v>
      </c>
      <c r="E17">
        <v>0</v>
      </c>
      <c r="F17">
        <v>0</v>
      </c>
      <c r="G17">
        <f>SUM(C17:F17)</f>
        <v>0</v>
      </c>
    </row>
    <row r="18" spans="1:7" x14ac:dyDescent="0.2">
      <c r="A18" t="s">
        <v>68</v>
      </c>
      <c r="C18">
        <v>0</v>
      </c>
      <c r="D18">
        <v>0</v>
      </c>
      <c r="E18">
        <v>0</v>
      </c>
      <c r="F18">
        <v>0</v>
      </c>
      <c r="G18">
        <f>SUM(C18:F18)</f>
        <v>0</v>
      </c>
    </row>
    <row r="20" spans="1:7" x14ac:dyDescent="0.2">
      <c r="A20" t="s">
        <v>67</v>
      </c>
    </row>
    <row r="21" spans="1:7" x14ac:dyDescent="0.2">
      <c r="A21" t="s">
        <v>66</v>
      </c>
      <c r="B21">
        <v>14600</v>
      </c>
      <c r="E21" t="s">
        <v>65</v>
      </c>
    </row>
    <row r="22" spans="1:7" x14ac:dyDescent="0.2">
      <c r="A22" t="s">
        <v>64</v>
      </c>
      <c r="B22">
        <v>0</v>
      </c>
      <c r="E22" t="s">
        <v>63</v>
      </c>
    </row>
    <row r="23" spans="1:7" x14ac:dyDescent="0.2">
      <c r="A23" t="s">
        <v>62</v>
      </c>
      <c r="B23">
        <v>0</v>
      </c>
      <c r="E23" t="s">
        <v>61</v>
      </c>
    </row>
    <row r="24" spans="1:7" x14ac:dyDescent="0.2">
      <c r="A24" t="s">
        <v>60</v>
      </c>
      <c r="B24">
        <v>0</v>
      </c>
      <c r="E24" t="s">
        <v>59</v>
      </c>
    </row>
    <row r="26" spans="1:7" x14ac:dyDescent="0.2">
      <c r="A26" t="s">
        <v>58</v>
      </c>
    </row>
    <row r="27" spans="1:7" x14ac:dyDescent="0.2">
      <c r="A27" t="s">
        <v>57</v>
      </c>
      <c r="B27">
        <v>0</v>
      </c>
      <c r="E27" t="s">
        <v>56</v>
      </c>
    </row>
    <row r="28" spans="1:7" x14ac:dyDescent="0.2">
      <c r="A28" t="s">
        <v>55</v>
      </c>
      <c r="B28">
        <v>0</v>
      </c>
      <c r="E28" t="s">
        <v>54</v>
      </c>
    </row>
    <row r="30" spans="1:7" x14ac:dyDescent="0.2">
      <c r="A30" t="s">
        <v>53</v>
      </c>
    </row>
    <row r="31" spans="1:7" x14ac:dyDescent="0.2">
      <c r="A31" t="s">
        <v>52</v>
      </c>
      <c r="B31" s="1">
        <v>45292</v>
      </c>
    </row>
    <row r="32" spans="1:7" x14ac:dyDescent="0.2">
      <c r="A32" t="s">
        <v>51</v>
      </c>
      <c r="B32" t="s">
        <v>50</v>
      </c>
      <c r="E32" t="s">
        <v>49</v>
      </c>
    </row>
    <row r="33" spans="1:6" x14ac:dyDescent="0.2">
      <c r="A33" t="s">
        <v>48</v>
      </c>
      <c r="B33">
        <v>0</v>
      </c>
      <c r="E33" t="s">
        <v>47</v>
      </c>
    </row>
    <row r="34" spans="1:6" x14ac:dyDescent="0.2">
      <c r="A34" t="s">
        <v>46</v>
      </c>
      <c r="B34">
        <v>0</v>
      </c>
    </row>
    <row r="36" spans="1:6" x14ac:dyDescent="0.2">
      <c r="A36" t="s">
        <v>45</v>
      </c>
      <c r="C36" t="s">
        <v>44</v>
      </c>
      <c r="D36" t="s">
        <v>43</v>
      </c>
      <c r="E36" t="s">
        <v>42</v>
      </c>
      <c r="F36" t="s">
        <v>41</v>
      </c>
    </row>
    <row r="37" spans="1:6" x14ac:dyDescent="0.2">
      <c r="A37" t="s">
        <v>40</v>
      </c>
      <c r="C37">
        <v>0</v>
      </c>
      <c r="D37">
        <v>0</v>
      </c>
      <c r="E37">
        <v>0</v>
      </c>
      <c r="F37">
        <v>0</v>
      </c>
    </row>
    <row r="38" spans="1:6" x14ac:dyDescent="0.2">
      <c r="A38" t="s">
        <v>39</v>
      </c>
      <c r="C38">
        <v>0</v>
      </c>
      <c r="D38">
        <v>0</v>
      </c>
      <c r="E38">
        <v>0</v>
      </c>
      <c r="F38">
        <v>0</v>
      </c>
    </row>
    <row r="39" spans="1:6" x14ac:dyDescent="0.2">
      <c r="A39" t="s">
        <v>38</v>
      </c>
      <c r="C39">
        <v>0</v>
      </c>
      <c r="D39">
        <v>0</v>
      </c>
      <c r="E39">
        <v>0</v>
      </c>
      <c r="F39">
        <v>0</v>
      </c>
    </row>
    <row r="41" spans="1:6" x14ac:dyDescent="0.2">
      <c r="A41" t="s">
        <v>37</v>
      </c>
    </row>
    <row r="42" spans="1:6" x14ac:dyDescent="0.2">
      <c r="A42" t="s">
        <v>36</v>
      </c>
      <c r="E42" t="s">
        <v>35</v>
      </c>
    </row>
    <row r="43" spans="1:6" x14ac:dyDescent="0.2">
      <c r="A43" t="s">
        <v>34</v>
      </c>
      <c r="E43" t="s">
        <v>33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94BD-C074-3C42-809D-AF2FF847940E}">
  <dimension ref="A1:G45"/>
  <sheetViews>
    <sheetView workbookViewId="0">
      <selection activeCell="B24" sqref="B24"/>
    </sheetView>
  </sheetViews>
  <sheetFormatPr baseColWidth="10" defaultRowHeight="16" x14ac:dyDescent="0.2"/>
  <cols>
    <col min="1" max="1" width="34.5" bestFit="1" customWidth="1"/>
  </cols>
  <sheetData>
    <row r="1" spans="1:2" x14ac:dyDescent="0.2">
      <c r="A1" t="s">
        <v>94</v>
      </c>
    </row>
    <row r="3" spans="1:2" x14ac:dyDescent="0.2">
      <c r="A3" t="s">
        <v>95</v>
      </c>
    </row>
    <row r="4" spans="1:2" x14ac:dyDescent="0.2">
      <c r="A4" t="s">
        <v>96</v>
      </c>
      <c r="B4">
        <f>SUM('Input Data'!C15:F15)+SUM('Input Data'!C17:F17)</f>
        <v>0</v>
      </c>
    </row>
    <row r="5" spans="1:2" x14ac:dyDescent="0.2">
      <c r="A5" t="s">
        <v>97</v>
      </c>
      <c r="B5">
        <f>SUM('Input Data'!C16:F16)</f>
        <v>0</v>
      </c>
    </row>
    <row r="6" spans="1:2" x14ac:dyDescent="0.2">
      <c r="A6" t="s">
        <v>98</v>
      </c>
      <c r="B6">
        <f>MAX(0,B4-B5)</f>
        <v>0</v>
      </c>
    </row>
    <row r="7" spans="1:2" x14ac:dyDescent="0.2">
      <c r="A7" t="s">
        <v>99</v>
      </c>
      <c r="B7">
        <f>SUM('Input Data'!C18:F18)</f>
        <v>0</v>
      </c>
    </row>
    <row r="8" spans="1:2" x14ac:dyDescent="0.2">
      <c r="A8" t="s">
        <v>100</v>
      </c>
      <c r="B8">
        <f>B6-B7</f>
        <v>0</v>
      </c>
    </row>
    <row r="9" spans="1:2" x14ac:dyDescent="0.2">
      <c r="A9" t="s">
        <v>101</v>
      </c>
      <c r="B9">
        <f>'Input Data'!B21</f>
        <v>14600</v>
      </c>
    </row>
    <row r="10" spans="1:2" x14ac:dyDescent="0.2">
      <c r="A10" t="s">
        <v>102</v>
      </c>
      <c r="B10">
        <f>MAX(0,B8-B9)</f>
        <v>0</v>
      </c>
    </row>
    <row r="12" spans="1:2" x14ac:dyDescent="0.2">
      <c r="A12" t="s">
        <v>103</v>
      </c>
    </row>
    <row r="13" spans="1:2" x14ac:dyDescent="0.2">
      <c r="A13" t="s">
        <v>104</v>
      </c>
      <c r="B13">
        <f>IF('Input Data'!B2="Single",IF(B10&lt;=11000,B10*0.1,IF(B10&lt;=44725,1100+(B10-11000)*0.12,IF(B10&lt;=95375,5147+(B10-44725)*0.22,IF(B10&lt;=182050,16290+(B10-95375)*0.24,IF(B10&lt;=231250,37104+(B10-182050)*0.32,IF(B10&lt;=578125,52832+(B10-231250)*0.35,174238.25+(B10-578125)*0.37)))))),0)</f>
        <v>0</v>
      </c>
    </row>
    <row r="14" spans="1:2" x14ac:dyDescent="0.2">
      <c r="A14" t="s">
        <v>105</v>
      </c>
      <c r="B14">
        <f>IF(B6&gt;0,B6*0.9235*0.153,0)</f>
        <v>0</v>
      </c>
    </row>
    <row r="15" spans="1:2" x14ac:dyDescent="0.2">
      <c r="A15" t="s">
        <v>106</v>
      </c>
      <c r="B15">
        <f>IF(B8&gt;200000,(B8-200000)*0.009,0)</f>
        <v>0</v>
      </c>
    </row>
    <row r="16" spans="1:2" x14ac:dyDescent="0.2">
      <c r="A16" t="s">
        <v>107</v>
      </c>
      <c r="B16">
        <f>B13+B14+B15</f>
        <v>0</v>
      </c>
    </row>
    <row r="17" spans="1:7" x14ac:dyDescent="0.2">
      <c r="A17" t="s">
        <v>108</v>
      </c>
      <c r="B17">
        <f>'Input Data'!B27+'Input Data'!B28</f>
        <v>0</v>
      </c>
    </row>
    <row r="18" spans="1:7" x14ac:dyDescent="0.2">
      <c r="A18" t="s">
        <v>109</v>
      </c>
      <c r="B18">
        <f>MAX(0,B16-B17)</f>
        <v>0</v>
      </c>
    </row>
    <row r="20" spans="1:7" x14ac:dyDescent="0.2">
      <c r="A20" t="s">
        <v>110</v>
      </c>
    </row>
    <row r="21" spans="1:7" x14ac:dyDescent="0.2">
      <c r="A21" t="s">
        <v>111</v>
      </c>
      <c r="B21">
        <f>'Input Data'!B10</f>
        <v>0</v>
      </c>
    </row>
    <row r="22" spans="1:7" x14ac:dyDescent="0.2">
      <c r="A22" t="s">
        <v>112</v>
      </c>
      <c r="B22">
        <f>IF('Input Data'!B9&gt;150000,'Input Data'!B10*1.1,'Input Data'!B10)</f>
        <v>0</v>
      </c>
    </row>
    <row r="23" spans="1:7" x14ac:dyDescent="0.2">
      <c r="A23" t="s">
        <v>113</v>
      </c>
      <c r="B23">
        <f>B18*0.9</f>
        <v>0</v>
      </c>
    </row>
    <row r="24" spans="1:7" x14ac:dyDescent="0.2">
      <c r="A24" t="s">
        <v>4</v>
      </c>
      <c r="B24">
        <f>IF(B21&gt;0,MIN(B21,B22,B23),0)</f>
        <v>0</v>
      </c>
    </row>
    <row r="26" spans="1:7" x14ac:dyDescent="0.2">
      <c r="A26" t="s">
        <v>114</v>
      </c>
    </row>
    <row r="27" spans="1:7" x14ac:dyDescent="0.2">
      <c r="A27" t="s">
        <v>115</v>
      </c>
      <c r="B27">
        <f>B24</f>
        <v>0</v>
      </c>
    </row>
    <row r="28" spans="1:7" x14ac:dyDescent="0.2">
      <c r="A28" t="s">
        <v>116</v>
      </c>
      <c r="B28">
        <f>SUM('Input Data'!C37:F37)</f>
        <v>0</v>
      </c>
    </row>
    <row r="29" spans="1:7" x14ac:dyDescent="0.2">
      <c r="A29" t="s">
        <v>117</v>
      </c>
      <c r="B29">
        <f>MAX(0,B27-B28)</f>
        <v>0</v>
      </c>
    </row>
    <row r="30" spans="1:7" x14ac:dyDescent="0.2">
      <c r="A30" t="s">
        <v>118</v>
      </c>
      <c r="B30">
        <f>B29/4</f>
        <v>0</v>
      </c>
    </row>
    <row r="32" spans="1:7" x14ac:dyDescent="0.2">
      <c r="A32" t="s">
        <v>119</v>
      </c>
      <c r="C32" t="s">
        <v>44</v>
      </c>
      <c r="D32" t="s">
        <v>43</v>
      </c>
      <c r="E32" t="s">
        <v>42</v>
      </c>
      <c r="F32" t="s">
        <v>41</v>
      </c>
      <c r="G32" t="s">
        <v>72</v>
      </c>
    </row>
    <row r="33" spans="1:7" x14ac:dyDescent="0.2">
      <c r="A33" t="s">
        <v>120</v>
      </c>
      <c r="C33">
        <f>$B$30</f>
        <v>0</v>
      </c>
      <c r="D33">
        <f>$B$30</f>
        <v>0</v>
      </c>
      <c r="E33">
        <f>$B$30</f>
        <v>0</v>
      </c>
      <c r="F33">
        <f>$B$30</f>
        <v>0</v>
      </c>
      <c r="G33">
        <f>SUM(C33:F33)</f>
        <v>0</v>
      </c>
    </row>
    <row r="34" spans="1:7" x14ac:dyDescent="0.2">
      <c r="A34" t="s">
        <v>121</v>
      </c>
      <c r="C34">
        <f>'State Calculations'!$B$67</f>
        <v>0</v>
      </c>
      <c r="D34">
        <f>'State Calculations'!$B$68</f>
        <v>0</v>
      </c>
      <c r="E34">
        <f>'State Calculations'!$B$69</f>
        <v>0</v>
      </c>
      <c r="F34">
        <f>'State Calculations'!$B$70</f>
        <v>0</v>
      </c>
      <c r="G34">
        <f t="shared" ref="G34" si="0">SUM(C34:F34)</f>
        <v>0</v>
      </c>
    </row>
    <row r="35" spans="1:7" x14ac:dyDescent="0.2">
      <c r="A35" t="s">
        <v>122</v>
      </c>
      <c r="C35">
        <f>C33+C34</f>
        <v>0</v>
      </c>
      <c r="D35">
        <f>D33+D34</f>
        <v>0</v>
      </c>
      <c r="E35">
        <f>E33+E34</f>
        <v>0</v>
      </c>
      <c r="F35">
        <f>F33+F34</f>
        <v>0</v>
      </c>
      <c r="G35">
        <f>SUM(C35:F35)</f>
        <v>0</v>
      </c>
    </row>
    <row r="37" spans="1:7" x14ac:dyDescent="0.2">
      <c r="A37" t="s">
        <v>123</v>
      </c>
    </row>
    <row r="38" spans="1:7" x14ac:dyDescent="0.2">
      <c r="A38" t="s">
        <v>124</v>
      </c>
      <c r="B38" s="6">
        <f>B8</f>
        <v>0</v>
      </c>
    </row>
    <row r="39" spans="1:7" x14ac:dyDescent="0.2">
      <c r="A39" t="s">
        <v>125</v>
      </c>
      <c r="B39">
        <f>B18+'State Calculations'!B62</f>
        <v>0</v>
      </c>
    </row>
    <row r="40" spans="1:7" x14ac:dyDescent="0.2">
      <c r="A40" t="s">
        <v>126</v>
      </c>
      <c r="B40">
        <f>IF(B38&gt;0,B39/B38,0)</f>
        <v>0</v>
      </c>
    </row>
    <row r="41" spans="1:7" x14ac:dyDescent="0.2">
      <c r="A41" t="s">
        <v>127</v>
      </c>
      <c r="B41">
        <f>B4-B39</f>
        <v>0</v>
      </c>
    </row>
    <row r="43" spans="1:7" x14ac:dyDescent="0.2">
      <c r="A43" t="s">
        <v>128</v>
      </c>
    </row>
    <row r="44" spans="1:7" x14ac:dyDescent="0.2">
      <c r="A44" t="s">
        <v>129</v>
      </c>
      <c r="B44" s="6" t="str">
        <f>IF(B10&lt;=11000,"10%",IF(B10&lt;=44725,"12%",IF(B10&lt;=95375,"22%",IF(B10&lt;=182050,"24%",IF(B10&lt;=231250,"32%",IF(B10&lt;=578125,"35%","37%"))))))</f>
        <v>10%</v>
      </c>
    </row>
    <row r="45" spans="1:7" x14ac:dyDescent="0.2">
      <c r="A45" t="s">
        <v>130</v>
      </c>
      <c r="B45">
        <f>IF(B10&lt;=11000,11000-B10,IF(B10&lt;=44725,44725-B10,IF(B10&lt;=95375,95375-B10,IF(B10&lt;=182050,182050-B10,IF(B10&lt;=231250,231250-B10,IF(B10&lt;=578125,578125-B10,0))))))</f>
        <v>11000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382DD-7068-CB43-8CE9-F5B018470269}">
  <dimension ref="A1:E54"/>
  <sheetViews>
    <sheetView topLeftCell="A19" workbookViewId="0">
      <selection activeCell="E6" sqref="E6"/>
    </sheetView>
  </sheetViews>
  <sheetFormatPr baseColWidth="10" defaultRowHeight="16" x14ac:dyDescent="0.2"/>
  <sheetData>
    <row r="1" spans="1:5" x14ac:dyDescent="0.2">
      <c r="A1" t="s">
        <v>131</v>
      </c>
    </row>
    <row r="3" spans="1:5" x14ac:dyDescent="0.2">
      <c r="A3" t="s">
        <v>132</v>
      </c>
    </row>
    <row r="4" spans="1:5" x14ac:dyDescent="0.2">
      <c r="A4" t="s">
        <v>133</v>
      </c>
      <c r="B4" t="s">
        <v>134</v>
      </c>
      <c r="C4" t="s">
        <v>135</v>
      </c>
      <c r="D4" t="s">
        <v>136</v>
      </c>
      <c r="E4" t="s">
        <v>137</v>
      </c>
    </row>
    <row r="5" spans="1:5" x14ac:dyDescent="0.2">
      <c r="A5" t="s">
        <v>138</v>
      </c>
      <c r="B5" s="2">
        <v>0.1</v>
      </c>
      <c r="C5" s="3">
        <v>0</v>
      </c>
      <c r="D5" s="3">
        <v>0</v>
      </c>
      <c r="E5" t="e">
        <f>Income*0.1</f>
        <v>#NAME?</v>
      </c>
    </row>
    <row r="6" spans="1:5" x14ac:dyDescent="0.2">
      <c r="A6" t="s">
        <v>139</v>
      </c>
      <c r="B6" s="2">
        <v>0.12</v>
      </c>
      <c r="C6" s="3">
        <v>1100</v>
      </c>
      <c r="D6" s="3">
        <v>11000</v>
      </c>
      <c r="E6" t="s">
        <v>140</v>
      </c>
    </row>
    <row r="7" spans="1:5" x14ac:dyDescent="0.2">
      <c r="A7" t="s">
        <v>141</v>
      </c>
      <c r="B7" s="2">
        <v>0.22</v>
      </c>
      <c r="C7" s="3">
        <v>5147</v>
      </c>
      <c r="D7" s="3">
        <v>44725</v>
      </c>
      <c r="E7" t="s">
        <v>142</v>
      </c>
    </row>
    <row r="8" spans="1:5" x14ac:dyDescent="0.2">
      <c r="A8" t="s">
        <v>143</v>
      </c>
      <c r="B8" s="2">
        <v>0.24</v>
      </c>
      <c r="C8" s="3">
        <v>16290</v>
      </c>
      <c r="D8" s="3">
        <v>95375</v>
      </c>
      <c r="E8" t="s">
        <v>144</v>
      </c>
    </row>
    <row r="9" spans="1:5" x14ac:dyDescent="0.2">
      <c r="A9" t="s">
        <v>145</v>
      </c>
      <c r="B9" s="2">
        <v>0.32</v>
      </c>
      <c r="C9" s="3">
        <v>37104</v>
      </c>
      <c r="D9" s="3">
        <v>182050</v>
      </c>
      <c r="E9" t="s">
        <v>146</v>
      </c>
    </row>
    <row r="10" spans="1:5" x14ac:dyDescent="0.2">
      <c r="A10" t="s">
        <v>147</v>
      </c>
      <c r="B10" s="2">
        <v>0.35</v>
      </c>
      <c r="C10" s="3">
        <v>52832</v>
      </c>
      <c r="D10" s="3">
        <v>231250</v>
      </c>
      <c r="E10" t="s">
        <v>148</v>
      </c>
    </row>
    <row r="11" spans="1:5" x14ac:dyDescent="0.2">
      <c r="A11" t="s">
        <v>149</v>
      </c>
      <c r="B11" s="2">
        <v>0.37</v>
      </c>
      <c r="C11" s="4">
        <v>174238.25</v>
      </c>
      <c r="D11" s="3">
        <v>578125</v>
      </c>
      <c r="E11" t="s">
        <v>150</v>
      </c>
    </row>
    <row r="13" spans="1:5" x14ac:dyDescent="0.2">
      <c r="A13" t="s">
        <v>151</v>
      </c>
    </row>
    <row r="14" spans="1:5" x14ac:dyDescent="0.2">
      <c r="A14" t="s">
        <v>133</v>
      </c>
      <c r="B14" t="s">
        <v>134</v>
      </c>
      <c r="C14" t="s">
        <v>135</v>
      </c>
      <c r="D14" t="s">
        <v>136</v>
      </c>
      <c r="E14" t="s">
        <v>137</v>
      </c>
    </row>
    <row r="15" spans="1:5" x14ac:dyDescent="0.2">
      <c r="A15" t="s">
        <v>152</v>
      </c>
      <c r="B15" s="2">
        <v>0.1</v>
      </c>
      <c r="C15" s="3">
        <v>0</v>
      </c>
      <c r="D15" s="3">
        <v>0</v>
      </c>
      <c r="E15" t="e">
        <f>Income*0.1</f>
        <v>#NAME?</v>
      </c>
    </row>
    <row r="16" spans="1:5" x14ac:dyDescent="0.2">
      <c r="A16" t="s">
        <v>153</v>
      </c>
      <c r="B16" s="2">
        <v>0.12</v>
      </c>
      <c r="C16" s="3">
        <v>2200</v>
      </c>
      <c r="D16" s="3">
        <v>22000</v>
      </c>
      <c r="E16" t="s">
        <v>154</v>
      </c>
    </row>
    <row r="17" spans="1:5" x14ac:dyDescent="0.2">
      <c r="A17" t="s">
        <v>155</v>
      </c>
      <c r="B17" s="2">
        <v>0.22</v>
      </c>
      <c r="C17" s="3">
        <v>10294</v>
      </c>
      <c r="D17" s="3">
        <v>89450</v>
      </c>
      <c r="E17" t="s">
        <v>156</v>
      </c>
    </row>
    <row r="18" spans="1:5" x14ac:dyDescent="0.2">
      <c r="A18" t="s">
        <v>157</v>
      </c>
      <c r="B18" s="2">
        <v>0.24</v>
      </c>
      <c r="C18" s="3">
        <v>32580</v>
      </c>
      <c r="D18" s="3">
        <v>190750</v>
      </c>
      <c r="E18" t="s">
        <v>158</v>
      </c>
    </row>
    <row r="19" spans="1:5" x14ac:dyDescent="0.2">
      <c r="A19" t="s">
        <v>159</v>
      </c>
      <c r="B19" s="2">
        <v>0.32</v>
      </c>
      <c r="C19" s="3">
        <v>74208</v>
      </c>
      <c r="D19" s="3">
        <v>364200</v>
      </c>
      <c r="E19" t="s">
        <v>160</v>
      </c>
    </row>
    <row r="20" spans="1:5" x14ac:dyDescent="0.2">
      <c r="A20" t="s">
        <v>161</v>
      </c>
      <c r="B20" s="2">
        <v>0.35</v>
      </c>
      <c r="C20" s="3">
        <v>105664</v>
      </c>
      <c r="D20" s="3">
        <v>462500</v>
      </c>
      <c r="E20" t="s">
        <v>162</v>
      </c>
    </row>
    <row r="21" spans="1:5" x14ac:dyDescent="0.2">
      <c r="A21" t="s">
        <v>163</v>
      </c>
      <c r="B21" s="2">
        <v>0.37</v>
      </c>
      <c r="C21" s="4">
        <v>186601.25</v>
      </c>
      <c r="D21" s="3">
        <v>693750</v>
      </c>
      <c r="E21" t="s">
        <v>164</v>
      </c>
    </row>
    <row r="23" spans="1:5" x14ac:dyDescent="0.2">
      <c r="A23" t="s">
        <v>165</v>
      </c>
    </row>
    <row r="24" spans="1:5" x14ac:dyDescent="0.2">
      <c r="A24" t="s">
        <v>133</v>
      </c>
      <c r="B24" t="s">
        <v>134</v>
      </c>
      <c r="C24" t="s">
        <v>135</v>
      </c>
      <c r="D24" t="s">
        <v>136</v>
      </c>
      <c r="E24" t="s">
        <v>137</v>
      </c>
    </row>
    <row r="25" spans="1:5" x14ac:dyDescent="0.2">
      <c r="A25" t="s">
        <v>138</v>
      </c>
      <c r="B25" s="2">
        <v>0.1</v>
      </c>
      <c r="C25" s="3">
        <v>0</v>
      </c>
      <c r="D25" s="3">
        <v>0</v>
      </c>
      <c r="E25" t="e">
        <f>Income*0.1</f>
        <v>#NAME?</v>
      </c>
    </row>
    <row r="26" spans="1:5" x14ac:dyDescent="0.2">
      <c r="A26" t="s">
        <v>139</v>
      </c>
      <c r="B26" s="2">
        <v>0.12</v>
      </c>
      <c r="C26" s="3">
        <v>1100</v>
      </c>
      <c r="D26" s="3">
        <v>11000</v>
      </c>
      <c r="E26" t="s">
        <v>140</v>
      </c>
    </row>
    <row r="27" spans="1:5" x14ac:dyDescent="0.2">
      <c r="A27" t="s">
        <v>141</v>
      </c>
      <c r="B27" s="2">
        <v>0.22</v>
      </c>
      <c r="C27" s="3">
        <v>5147</v>
      </c>
      <c r="D27" s="3">
        <v>44725</v>
      </c>
      <c r="E27" t="s">
        <v>142</v>
      </c>
    </row>
    <row r="28" spans="1:5" x14ac:dyDescent="0.2">
      <c r="A28" t="s">
        <v>143</v>
      </c>
      <c r="B28" s="2">
        <v>0.24</v>
      </c>
      <c r="C28" s="3">
        <v>16290</v>
      </c>
      <c r="D28" s="3">
        <v>95375</v>
      </c>
      <c r="E28" t="s">
        <v>144</v>
      </c>
    </row>
    <row r="29" spans="1:5" x14ac:dyDescent="0.2">
      <c r="A29" t="s">
        <v>145</v>
      </c>
      <c r="B29" s="2">
        <v>0.32</v>
      </c>
      <c r="C29" s="3">
        <v>37104</v>
      </c>
      <c r="D29" s="3">
        <v>182050</v>
      </c>
      <c r="E29" t="s">
        <v>146</v>
      </c>
    </row>
    <row r="30" spans="1:5" x14ac:dyDescent="0.2">
      <c r="A30" t="s">
        <v>166</v>
      </c>
      <c r="B30" s="2">
        <v>0.35</v>
      </c>
      <c r="C30" s="3">
        <v>52832</v>
      </c>
      <c r="D30" s="3">
        <v>231250</v>
      </c>
      <c r="E30" t="s">
        <v>148</v>
      </c>
    </row>
    <row r="31" spans="1:5" x14ac:dyDescent="0.2">
      <c r="A31" t="s">
        <v>167</v>
      </c>
      <c r="B31" s="2">
        <v>0.37</v>
      </c>
      <c r="C31" s="4">
        <v>93300.75</v>
      </c>
      <c r="D31" s="3">
        <v>346875</v>
      </c>
      <c r="E31" t="s">
        <v>168</v>
      </c>
    </row>
    <row r="33" spans="1:5" x14ac:dyDescent="0.2">
      <c r="A33" t="s">
        <v>169</v>
      </c>
    </row>
    <row r="34" spans="1:5" x14ac:dyDescent="0.2">
      <c r="A34" t="s">
        <v>133</v>
      </c>
      <c r="B34" t="s">
        <v>134</v>
      </c>
      <c r="C34" t="s">
        <v>135</v>
      </c>
      <c r="D34" t="s">
        <v>136</v>
      </c>
      <c r="E34" t="s">
        <v>137</v>
      </c>
    </row>
    <row r="35" spans="1:5" x14ac:dyDescent="0.2">
      <c r="A35" t="s">
        <v>170</v>
      </c>
      <c r="B35" s="2">
        <v>0.1</v>
      </c>
      <c r="C35" s="3">
        <v>0</v>
      </c>
      <c r="D35" s="3">
        <v>0</v>
      </c>
      <c r="E35" t="e">
        <f>Income*0.1</f>
        <v>#NAME?</v>
      </c>
    </row>
    <row r="36" spans="1:5" x14ac:dyDescent="0.2">
      <c r="A36" t="s">
        <v>171</v>
      </c>
      <c r="B36" s="2">
        <v>0.12</v>
      </c>
      <c r="C36" s="3">
        <v>1570</v>
      </c>
      <c r="D36" s="3">
        <v>15700</v>
      </c>
      <c r="E36" t="s">
        <v>172</v>
      </c>
    </row>
    <row r="37" spans="1:5" x14ac:dyDescent="0.2">
      <c r="A37" t="s">
        <v>173</v>
      </c>
      <c r="B37" s="2">
        <v>0.22</v>
      </c>
      <c r="C37" s="3">
        <v>6868</v>
      </c>
      <c r="D37" s="3">
        <v>59850</v>
      </c>
      <c r="E37" t="s">
        <v>174</v>
      </c>
    </row>
    <row r="38" spans="1:5" x14ac:dyDescent="0.2">
      <c r="A38" t="s">
        <v>175</v>
      </c>
      <c r="B38" s="2">
        <v>0.24</v>
      </c>
      <c r="C38" s="3">
        <v>14678</v>
      </c>
      <c r="D38" s="3">
        <v>95350</v>
      </c>
      <c r="E38" t="s">
        <v>176</v>
      </c>
    </row>
    <row r="39" spans="1:5" x14ac:dyDescent="0.2">
      <c r="A39" t="s">
        <v>145</v>
      </c>
      <c r="B39" s="2">
        <v>0.32</v>
      </c>
      <c r="C39" s="3">
        <v>35498</v>
      </c>
      <c r="D39" s="3">
        <v>182050</v>
      </c>
      <c r="E39" t="s">
        <v>177</v>
      </c>
    </row>
    <row r="40" spans="1:5" x14ac:dyDescent="0.2">
      <c r="A40" t="s">
        <v>178</v>
      </c>
      <c r="B40" s="2">
        <v>0.35</v>
      </c>
      <c r="C40" s="3">
        <v>51226</v>
      </c>
      <c r="D40" s="3">
        <v>231250</v>
      </c>
      <c r="E40" t="s">
        <v>179</v>
      </c>
    </row>
    <row r="41" spans="1:5" x14ac:dyDescent="0.2">
      <c r="A41" t="s">
        <v>180</v>
      </c>
      <c r="B41" s="2">
        <v>0.37</v>
      </c>
      <c r="C41" s="4">
        <v>172623.5</v>
      </c>
      <c r="D41" s="3">
        <v>578100</v>
      </c>
      <c r="E41" t="s">
        <v>181</v>
      </c>
    </row>
    <row r="43" spans="1:5" x14ac:dyDescent="0.2">
      <c r="A43" t="s">
        <v>182</v>
      </c>
    </row>
    <row r="44" spans="1:5" x14ac:dyDescent="0.2">
      <c r="A44" t="s">
        <v>183</v>
      </c>
      <c r="B44" t="s">
        <v>184</v>
      </c>
    </row>
    <row r="45" spans="1:5" x14ac:dyDescent="0.2">
      <c r="A45" t="s">
        <v>91</v>
      </c>
      <c r="B45" s="3">
        <v>14600</v>
      </c>
    </row>
    <row r="46" spans="1:5" x14ac:dyDescent="0.2">
      <c r="A46" t="s">
        <v>185</v>
      </c>
      <c r="B46" s="3">
        <v>29200</v>
      </c>
    </row>
    <row r="47" spans="1:5" x14ac:dyDescent="0.2">
      <c r="A47" t="s">
        <v>186</v>
      </c>
      <c r="B47" s="3">
        <v>14600</v>
      </c>
    </row>
    <row r="48" spans="1:5" x14ac:dyDescent="0.2">
      <c r="A48" t="s">
        <v>187</v>
      </c>
      <c r="B48" s="3">
        <v>21900</v>
      </c>
    </row>
    <row r="50" spans="1:4" x14ac:dyDescent="0.2">
      <c r="A50" t="s">
        <v>188</v>
      </c>
    </row>
    <row r="51" spans="1:4" x14ac:dyDescent="0.2">
      <c r="A51" t="s">
        <v>189</v>
      </c>
      <c r="B51" s="5">
        <v>0.124</v>
      </c>
      <c r="D51" t="s">
        <v>190</v>
      </c>
    </row>
    <row r="52" spans="1:4" x14ac:dyDescent="0.2">
      <c r="A52" t="s">
        <v>191</v>
      </c>
      <c r="B52" s="5">
        <v>2.9000000000000001E-2</v>
      </c>
      <c r="D52" t="s">
        <v>192</v>
      </c>
    </row>
    <row r="53" spans="1:4" x14ac:dyDescent="0.2">
      <c r="A53" t="s">
        <v>193</v>
      </c>
      <c r="B53" s="5">
        <v>0.153</v>
      </c>
      <c r="D53" t="s">
        <v>194</v>
      </c>
    </row>
    <row r="54" spans="1:4" x14ac:dyDescent="0.2">
      <c r="A54" t="s">
        <v>195</v>
      </c>
      <c r="B54" s="5">
        <v>8.9999999999999993E-3</v>
      </c>
      <c r="D54" t="s">
        <v>196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BB47F-44F3-E244-94F7-BFDFBA709ED0}">
  <dimension ref="A1:E76"/>
  <sheetViews>
    <sheetView workbookViewId="0">
      <selection activeCell="B60" sqref="B60"/>
    </sheetView>
  </sheetViews>
  <sheetFormatPr baseColWidth="10" defaultRowHeight="16" x14ac:dyDescent="0.2"/>
  <cols>
    <col min="1" max="1" width="33.6640625" bestFit="1" customWidth="1"/>
    <col min="2" max="2" width="8" bestFit="1" customWidth="1"/>
    <col min="3" max="3" width="18" bestFit="1" customWidth="1"/>
    <col min="4" max="4" width="10.33203125" bestFit="1" customWidth="1"/>
    <col min="5" max="5" width="39.1640625" bestFit="1" customWidth="1"/>
  </cols>
  <sheetData>
    <row r="1" spans="1:5" x14ac:dyDescent="0.2">
      <c r="A1" t="s">
        <v>197</v>
      </c>
    </row>
    <row r="3" spans="1:5" x14ac:dyDescent="0.2">
      <c r="A3" t="s">
        <v>198</v>
      </c>
    </row>
    <row r="4" spans="1:5" x14ac:dyDescent="0.2">
      <c r="A4" t="s">
        <v>199</v>
      </c>
      <c r="B4" t="s">
        <v>134</v>
      </c>
      <c r="C4" t="s">
        <v>200</v>
      </c>
      <c r="D4" t="s">
        <v>201</v>
      </c>
      <c r="E4" t="s">
        <v>202</v>
      </c>
    </row>
    <row r="5" spans="1:5" x14ac:dyDescent="0.2">
      <c r="A5" t="s">
        <v>203</v>
      </c>
      <c r="B5" s="5">
        <v>0.05</v>
      </c>
      <c r="C5" s="3">
        <v>2500</v>
      </c>
      <c r="D5" t="s">
        <v>204</v>
      </c>
      <c r="E5" t="s">
        <v>205</v>
      </c>
    </row>
    <row r="6" spans="1:5" x14ac:dyDescent="0.2">
      <c r="A6" t="s">
        <v>206</v>
      </c>
      <c r="B6" s="5">
        <v>0</v>
      </c>
      <c r="C6" s="3">
        <v>0</v>
      </c>
      <c r="D6" t="s">
        <v>207</v>
      </c>
      <c r="E6" t="s">
        <v>208</v>
      </c>
    </row>
    <row r="7" spans="1:5" x14ac:dyDescent="0.2">
      <c r="A7" t="s">
        <v>209</v>
      </c>
      <c r="B7" s="5">
        <v>2.5000000000000001E-2</v>
      </c>
      <c r="C7" s="3">
        <v>13850</v>
      </c>
      <c r="D7" t="s">
        <v>204</v>
      </c>
      <c r="E7" t="s">
        <v>210</v>
      </c>
    </row>
    <row r="8" spans="1:5" x14ac:dyDescent="0.2">
      <c r="A8" t="s">
        <v>211</v>
      </c>
      <c r="B8" s="5">
        <v>5.8999999999999997E-2</v>
      </c>
      <c r="C8" s="3">
        <v>2340</v>
      </c>
      <c r="D8" t="s">
        <v>212</v>
      </c>
      <c r="E8" t="s">
        <v>213</v>
      </c>
    </row>
    <row r="9" spans="1:5" x14ac:dyDescent="0.2">
      <c r="A9" t="s">
        <v>88</v>
      </c>
      <c r="B9" s="5">
        <v>0.13300000000000001</v>
      </c>
      <c r="C9" s="3">
        <v>5202</v>
      </c>
      <c r="D9" t="s">
        <v>212</v>
      </c>
      <c r="E9" t="s">
        <v>214</v>
      </c>
    </row>
    <row r="10" spans="1:5" x14ac:dyDescent="0.2">
      <c r="A10" t="s">
        <v>215</v>
      </c>
      <c r="B10" s="5">
        <v>4.3999999999999997E-2</v>
      </c>
      <c r="C10" s="3">
        <v>14600</v>
      </c>
      <c r="D10" t="s">
        <v>204</v>
      </c>
      <c r="E10" t="s">
        <v>216</v>
      </c>
    </row>
    <row r="11" spans="1:5" x14ac:dyDescent="0.2">
      <c r="A11" t="s">
        <v>217</v>
      </c>
      <c r="B11" s="5">
        <v>6.9900000000000004E-2</v>
      </c>
      <c r="C11" s="3">
        <v>0</v>
      </c>
      <c r="D11" t="s">
        <v>212</v>
      </c>
      <c r="E11" t="s">
        <v>213</v>
      </c>
    </row>
    <row r="12" spans="1:5" x14ac:dyDescent="0.2">
      <c r="A12" t="s">
        <v>218</v>
      </c>
      <c r="B12" s="5">
        <v>6.6000000000000003E-2</v>
      </c>
      <c r="C12" s="3">
        <v>3250</v>
      </c>
      <c r="D12" t="s">
        <v>212</v>
      </c>
      <c r="E12" t="s">
        <v>213</v>
      </c>
    </row>
    <row r="13" spans="1:5" x14ac:dyDescent="0.2">
      <c r="A13" t="s">
        <v>219</v>
      </c>
      <c r="B13" s="5">
        <v>0</v>
      </c>
      <c r="C13" s="3">
        <v>0</v>
      </c>
      <c r="D13" t="s">
        <v>207</v>
      </c>
      <c r="E13" t="s">
        <v>208</v>
      </c>
    </row>
    <row r="14" spans="1:5" x14ac:dyDescent="0.2">
      <c r="A14" t="s">
        <v>220</v>
      </c>
      <c r="B14" s="5">
        <v>5.7500000000000002E-2</v>
      </c>
      <c r="C14" s="3">
        <v>5400</v>
      </c>
      <c r="D14" t="s">
        <v>204</v>
      </c>
      <c r="E14" t="s">
        <v>221</v>
      </c>
    </row>
    <row r="15" spans="1:5" x14ac:dyDescent="0.2">
      <c r="A15" t="s">
        <v>222</v>
      </c>
      <c r="B15" s="5">
        <v>0.11</v>
      </c>
      <c r="C15" s="3">
        <v>2200</v>
      </c>
      <c r="D15" t="s">
        <v>212</v>
      </c>
      <c r="E15" t="s">
        <v>213</v>
      </c>
    </row>
    <row r="16" spans="1:5" x14ac:dyDescent="0.2">
      <c r="A16" t="s">
        <v>223</v>
      </c>
      <c r="B16" s="5">
        <v>5.8000000000000003E-2</v>
      </c>
      <c r="C16" s="3">
        <v>14600</v>
      </c>
      <c r="D16" t="s">
        <v>212</v>
      </c>
      <c r="E16" t="s">
        <v>213</v>
      </c>
    </row>
    <row r="17" spans="1:5" x14ac:dyDescent="0.2">
      <c r="A17" t="s">
        <v>224</v>
      </c>
      <c r="B17" s="5">
        <v>4.9500000000000002E-2</v>
      </c>
      <c r="C17" s="3">
        <v>0</v>
      </c>
      <c r="D17" t="s">
        <v>204</v>
      </c>
      <c r="E17" t="s">
        <v>216</v>
      </c>
    </row>
    <row r="18" spans="1:5" x14ac:dyDescent="0.2">
      <c r="A18" t="s">
        <v>225</v>
      </c>
      <c r="B18" s="5">
        <v>3.2300000000000002E-2</v>
      </c>
      <c r="C18" s="3">
        <v>0</v>
      </c>
      <c r="D18" t="s">
        <v>204</v>
      </c>
      <c r="E18" t="s">
        <v>216</v>
      </c>
    </row>
    <row r="19" spans="1:5" x14ac:dyDescent="0.2">
      <c r="A19" t="s">
        <v>226</v>
      </c>
      <c r="B19" s="5">
        <v>0.06</v>
      </c>
      <c r="C19" s="3">
        <v>2210</v>
      </c>
      <c r="D19" t="s">
        <v>212</v>
      </c>
      <c r="E19" t="s">
        <v>213</v>
      </c>
    </row>
    <row r="20" spans="1:5" x14ac:dyDescent="0.2">
      <c r="A20" t="s">
        <v>227</v>
      </c>
      <c r="B20" s="5">
        <v>5.7000000000000002E-2</v>
      </c>
      <c r="C20" s="3">
        <v>3500</v>
      </c>
      <c r="D20" t="s">
        <v>212</v>
      </c>
      <c r="E20" t="s">
        <v>213</v>
      </c>
    </row>
    <row r="21" spans="1:5" x14ac:dyDescent="0.2">
      <c r="A21" t="s">
        <v>228</v>
      </c>
      <c r="B21" s="5">
        <v>0.05</v>
      </c>
      <c r="C21" s="3">
        <v>3140</v>
      </c>
      <c r="D21" t="s">
        <v>204</v>
      </c>
      <c r="E21" t="s">
        <v>216</v>
      </c>
    </row>
    <row r="22" spans="1:5" x14ac:dyDescent="0.2">
      <c r="A22" t="s">
        <v>229</v>
      </c>
      <c r="B22" s="5">
        <v>4.2500000000000003E-2</v>
      </c>
      <c r="C22" s="3">
        <v>0</v>
      </c>
      <c r="D22" t="s">
        <v>212</v>
      </c>
      <c r="E22" t="s">
        <v>213</v>
      </c>
    </row>
    <row r="23" spans="1:5" x14ac:dyDescent="0.2">
      <c r="A23" t="s">
        <v>230</v>
      </c>
      <c r="B23" s="5">
        <v>7.1499999999999994E-2</v>
      </c>
      <c r="C23" s="3">
        <v>14600</v>
      </c>
      <c r="D23" t="s">
        <v>212</v>
      </c>
      <c r="E23" t="s">
        <v>213</v>
      </c>
    </row>
    <row r="24" spans="1:5" x14ac:dyDescent="0.2">
      <c r="A24" t="s">
        <v>231</v>
      </c>
      <c r="B24" s="5">
        <v>5.7500000000000002E-2</v>
      </c>
      <c r="C24" s="3">
        <v>2400</v>
      </c>
      <c r="D24" t="s">
        <v>212</v>
      </c>
      <c r="E24" t="s">
        <v>213</v>
      </c>
    </row>
    <row r="25" spans="1:5" x14ac:dyDescent="0.2">
      <c r="A25" t="s">
        <v>232</v>
      </c>
      <c r="B25" s="5">
        <v>0.05</v>
      </c>
      <c r="C25" s="3">
        <v>0</v>
      </c>
      <c r="D25" t="s">
        <v>204</v>
      </c>
      <c r="E25" t="s">
        <v>216</v>
      </c>
    </row>
    <row r="26" spans="1:5" x14ac:dyDescent="0.2">
      <c r="A26" t="s">
        <v>233</v>
      </c>
      <c r="B26" s="5">
        <v>4.2500000000000003E-2</v>
      </c>
      <c r="C26" s="3">
        <v>5400</v>
      </c>
      <c r="D26" t="s">
        <v>204</v>
      </c>
      <c r="E26" t="s">
        <v>216</v>
      </c>
    </row>
    <row r="27" spans="1:5" x14ac:dyDescent="0.2">
      <c r="A27" t="s">
        <v>234</v>
      </c>
      <c r="B27" s="5">
        <v>9.8500000000000004E-2</v>
      </c>
      <c r="C27" s="3">
        <v>14575</v>
      </c>
      <c r="D27" t="s">
        <v>212</v>
      </c>
      <c r="E27" t="s">
        <v>213</v>
      </c>
    </row>
    <row r="28" spans="1:5" x14ac:dyDescent="0.2">
      <c r="A28" t="s">
        <v>235</v>
      </c>
      <c r="B28" s="5">
        <v>0.05</v>
      </c>
      <c r="C28" s="3">
        <v>2300</v>
      </c>
      <c r="D28" t="s">
        <v>212</v>
      </c>
      <c r="E28" t="s">
        <v>213</v>
      </c>
    </row>
    <row r="29" spans="1:5" x14ac:dyDescent="0.2">
      <c r="A29" t="s">
        <v>236</v>
      </c>
      <c r="B29" s="5">
        <v>4.9500000000000002E-2</v>
      </c>
      <c r="C29" s="3">
        <v>14600</v>
      </c>
      <c r="D29" t="s">
        <v>212</v>
      </c>
      <c r="E29" t="s">
        <v>213</v>
      </c>
    </row>
    <row r="30" spans="1:5" x14ac:dyDescent="0.2">
      <c r="A30" t="s">
        <v>237</v>
      </c>
      <c r="B30" s="5">
        <v>6.7500000000000004E-2</v>
      </c>
      <c r="C30" s="3">
        <v>5480</v>
      </c>
      <c r="D30" t="s">
        <v>212</v>
      </c>
      <c r="E30" t="s">
        <v>213</v>
      </c>
    </row>
    <row r="31" spans="1:5" x14ac:dyDescent="0.2">
      <c r="A31" t="s">
        <v>238</v>
      </c>
      <c r="B31" s="5">
        <v>6.6400000000000001E-2</v>
      </c>
      <c r="C31" s="3">
        <v>7950</v>
      </c>
      <c r="D31" t="s">
        <v>212</v>
      </c>
      <c r="E31" t="s">
        <v>213</v>
      </c>
    </row>
    <row r="32" spans="1:5" x14ac:dyDescent="0.2">
      <c r="A32" t="s">
        <v>239</v>
      </c>
      <c r="B32" s="5">
        <v>0</v>
      </c>
      <c r="C32" s="3">
        <v>0</v>
      </c>
      <c r="D32" t="s">
        <v>207</v>
      </c>
      <c r="E32" t="s">
        <v>208</v>
      </c>
    </row>
    <row r="33" spans="1:5" x14ac:dyDescent="0.2">
      <c r="A33" t="s">
        <v>240</v>
      </c>
      <c r="B33" s="5">
        <v>0</v>
      </c>
      <c r="C33" s="3">
        <v>0</v>
      </c>
      <c r="D33" t="s">
        <v>207</v>
      </c>
      <c r="E33" t="s">
        <v>241</v>
      </c>
    </row>
    <row r="34" spans="1:5" x14ac:dyDescent="0.2">
      <c r="A34" t="s">
        <v>242</v>
      </c>
      <c r="B34" s="5">
        <v>0.1075</v>
      </c>
      <c r="C34" s="3">
        <v>1000</v>
      </c>
      <c r="D34" t="s">
        <v>212</v>
      </c>
      <c r="E34" t="s">
        <v>213</v>
      </c>
    </row>
    <row r="35" spans="1:5" x14ac:dyDescent="0.2">
      <c r="A35" t="s">
        <v>243</v>
      </c>
      <c r="B35" s="5">
        <v>5.8999999999999997E-2</v>
      </c>
      <c r="C35" s="3">
        <v>14600</v>
      </c>
      <c r="D35" t="s">
        <v>212</v>
      </c>
      <c r="E35" t="s">
        <v>213</v>
      </c>
    </row>
    <row r="36" spans="1:5" x14ac:dyDescent="0.2">
      <c r="A36" t="s">
        <v>244</v>
      </c>
      <c r="B36" s="5">
        <v>0.109</v>
      </c>
      <c r="C36" s="3">
        <v>8000</v>
      </c>
      <c r="D36" t="s">
        <v>212</v>
      </c>
      <c r="E36" t="s">
        <v>213</v>
      </c>
    </row>
    <row r="37" spans="1:5" x14ac:dyDescent="0.2">
      <c r="A37" t="s">
        <v>245</v>
      </c>
      <c r="B37" s="5">
        <v>4.7500000000000001E-2</v>
      </c>
      <c r="C37" s="3">
        <v>12750</v>
      </c>
      <c r="D37" t="s">
        <v>204</v>
      </c>
      <c r="E37" t="s">
        <v>216</v>
      </c>
    </row>
    <row r="38" spans="1:5" x14ac:dyDescent="0.2">
      <c r="A38" t="s">
        <v>246</v>
      </c>
      <c r="B38" s="5">
        <v>2.9000000000000001E-2</v>
      </c>
      <c r="C38" s="3">
        <v>14600</v>
      </c>
      <c r="D38" t="s">
        <v>212</v>
      </c>
      <c r="E38" t="s">
        <v>213</v>
      </c>
    </row>
    <row r="39" spans="1:5" x14ac:dyDescent="0.2">
      <c r="A39" t="s">
        <v>247</v>
      </c>
      <c r="B39" s="5">
        <v>3.9899999999999998E-2</v>
      </c>
      <c r="C39" s="3">
        <v>26050</v>
      </c>
      <c r="D39" t="s">
        <v>212</v>
      </c>
      <c r="E39" t="s">
        <v>213</v>
      </c>
    </row>
    <row r="40" spans="1:5" x14ac:dyDescent="0.2">
      <c r="A40" t="s">
        <v>248</v>
      </c>
      <c r="B40" s="5">
        <v>4.7500000000000001E-2</v>
      </c>
      <c r="C40" s="3">
        <v>6350</v>
      </c>
      <c r="D40" t="s">
        <v>212</v>
      </c>
      <c r="E40" t="s">
        <v>213</v>
      </c>
    </row>
    <row r="41" spans="1:5" x14ac:dyDescent="0.2">
      <c r="A41" t="s">
        <v>249</v>
      </c>
      <c r="B41" s="5">
        <v>9.9000000000000005E-2</v>
      </c>
      <c r="C41" s="3">
        <v>2745</v>
      </c>
      <c r="D41" t="s">
        <v>212</v>
      </c>
      <c r="E41" t="s">
        <v>213</v>
      </c>
    </row>
    <row r="42" spans="1:5" x14ac:dyDescent="0.2">
      <c r="A42" t="s">
        <v>250</v>
      </c>
      <c r="B42" s="5">
        <v>3.0700000000000002E-2</v>
      </c>
      <c r="C42" s="3">
        <v>0</v>
      </c>
      <c r="D42" t="s">
        <v>204</v>
      </c>
      <c r="E42" t="s">
        <v>216</v>
      </c>
    </row>
    <row r="43" spans="1:5" x14ac:dyDescent="0.2">
      <c r="A43" t="s">
        <v>251</v>
      </c>
      <c r="B43" s="5">
        <v>5.9900000000000002E-2</v>
      </c>
      <c r="C43" s="3">
        <v>10550</v>
      </c>
      <c r="D43" t="s">
        <v>212</v>
      </c>
      <c r="E43" t="s">
        <v>213</v>
      </c>
    </row>
    <row r="44" spans="1:5" x14ac:dyDescent="0.2">
      <c r="A44" t="s">
        <v>252</v>
      </c>
      <c r="B44" s="5">
        <v>7.0000000000000007E-2</v>
      </c>
      <c r="C44" s="3">
        <v>14600</v>
      </c>
      <c r="D44" t="s">
        <v>212</v>
      </c>
      <c r="E44" t="s">
        <v>213</v>
      </c>
    </row>
    <row r="45" spans="1:5" x14ac:dyDescent="0.2">
      <c r="A45" t="s">
        <v>253</v>
      </c>
      <c r="B45" s="5">
        <v>0</v>
      </c>
      <c r="C45" s="3">
        <v>0</v>
      </c>
      <c r="D45" t="s">
        <v>207</v>
      </c>
      <c r="E45" t="s">
        <v>208</v>
      </c>
    </row>
    <row r="46" spans="1:5" x14ac:dyDescent="0.2">
      <c r="A46" t="s">
        <v>254</v>
      </c>
      <c r="B46" s="5">
        <v>0</v>
      </c>
      <c r="C46" s="3">
        <v>0</v>
      </c>
      <c r="D46" t="s">
        <v>207</v>
      </c>
      <c r="E46" t="s">
        <v>255</v>
      </c>
    </row>
    <row r="47" spans="1:5" x14ac:dyDescent="0.2">
      <c r="A47" t="s">
        <v>256</v>
      </c>
      <c r="B47" s="5">
        <v>0</v>
      </c>
      <c r="C47" s="3">
        <v>0</v>
      </c>
      <c r="D47" t="s">
        <v>207</v>
      </c>
      <c r="E47" t="s">
        <v>208</v>
      </c>
    </row>
    <row r="48" spans="1:5" x14ac:dyDescent="0.2">
      <c r="A48" t="s">
        <v>257</v>
      </c>
      <c r="B48" s="5">
        <v>4.8500000000000001E-2</v>
      </c>
      <c r="C48" s="3">
        <v>0</v>
      </c>
      <c r="D48" t="s">
        <v>204</v>
      </c>
      <c r="E48" t="s">
        <v>216</v>
      </c>
    </row>
    <row r="49" spans="1:5" x14ac:dyDescent="0.2">
      <c r="A49" t="s">
        <v>258</v>
      </c>
      <c r="B49" s="5">
        <v>8.7499999999999994E-2</v>
      </c>
      <c r="C49" s="3">
        <v>7525</v>
      </c>
      <c r="D49" t="s">
        <v>212</v>
      </c>
      <c r="E49" t="s">
        <v>213</v>
      </c>
    </row>
    <row r="50" spans="1:5" x14ac:dyDescent="0.2">
      <c r="A50" t="s">
        <v>259</v>
      </c>
      <c r="B50" s="5">
        <v>5.7500000000000002E-2</v>
      </c>
      <c r="C50" s="3">
        <v>8000</v>
      </c>
      <c r="D50" t="s">
        <v>212</v>
      </c>
      <c r="E50" t="s">
        <v>213</v>
      </c>
    </row>
    <row r="51" spans="1:5" x14ac:dyDescent="0.2">
      <c r="A51" t="s">
        <v>260</v>
      </c>
      <c r="B51" s="5">
        <v>0</v>
      </c>
      <c r="C51" s="3">
        <v>0</v>
      </c>
      <c r="D51" t="s">
        <v>207</v>
      </c>
      <c r="E51" t="s">
        <v>208</v>
      </c>
    </row>
    <row r="52" spans="1:5" x14ac:dyDescent="0.2">
      <c r="A52" t="s">
        <v>261</v>
      </c>
      <c r="B52" s="5">
        <v>6.5000000000000002E-2</v>
      </c>
      <c r="C52" s="3">
        <v>2000</v>
      </c>
      <c r="D52" t="s">
        <v>212</v>
      </c>
      <c r="E52" t="s">
        <v>213</v>
      </c>
    </row>
    <row r="53" spans="1:5" x14ac:dyDescent="0.2">
      <c r="A53" t="s">
        <v>262</v>
      </c>
      <c r="B53" s="5">
        <v>7.6499999999999999E-2</v>
      </c>
      <c r="C53" s="3">
        <v>13810</v>
      </c>
      <c r="D53" t="s">
        <v>212</v>
      </c>
      <c r="E53" t="s">
        <v>213</v>
      </c>
    </row>
    <row r="54" spans="1:5" x14ac:dyDescent="0.2">
      <c r="A54" t="s">
        <v>263</v>
      </c>
      <c r="B54" s="5">
        <v>0</v>
      </c>
      <c r="C54" s="3">
        <v>0</v>
      </c>
      <c r="D54" t="s">
        <v>207</v>
      </c>
      <c r="E54" t="s">
        <v>208</v>
      </c>
    </row>
    <row r="55" spans="1:5" x14ac:dyDescent="0.2">
      <c r="A55" t="s">
        <v>264</v>
      </c>
      <c r="B55" s="5">
        <v>0.1075</v>
      </c>
      <c r="C55" s="3">
        <v>14600</v>
      </c>
      <c r="D55" t="s">
        <v>212</v>
      </c>
      <c r="E55" t="s">
        <v>213</v>
      </c>
    </row>
    <row r="57" spans="1:5" x14ac:dyDescent="0.2">
      <c r="A57" t="s">
        <v>265</v>
      </c>
    </row>
    <row r="58" spans="1:5" x14ac:dyDescent="0.2">
      <c r="A58" t="s">
        <v>266</v>
      </c>
      <c r="B58" t="str">
        <f>'Input Data'!B3</f>
        <v>CA</v>
      </c>
    </row>
    <row r="59" spans="1:5" x14ac:dyDescent="0.2">
      <c r="A59" t="s">
        <v>267</v>
      </c>
      <c r="B59">
        <f>VLOOKUP(B58,A5:E55,2,FALSE)</f>
        <v>0.13300000000000001</v>
      </c>
    </row>
    <row r="60" spans="1:5" x14ac:dyDescent="0.2">
      <c r="A60" t="s">
        <v>268</v>
      </c>
      <c r="B60">
        <f>VLOOKUP(B58,A5:E55,3,FALSE)</f>
        <v>5202</v>
      </c>
    </row>
    <row r="61" spans="1:5" x14ac:dyDescent="0.2">
      <c r="A61" t="s">
        <v>269</v>
      </c>
      <c r="B61">
        <f>MAX(0,Calculations!B8-B60)</f>
        <v>0</v>
      </c>
    </row>
    <row r="62" spans="1:5" x14ac:dyDescent="0.2">
      <c r="A62" t="s">
        <v>270</v>
      </c>
      <c r="B62">
        <f>B61*B59</f>
        <v>0</v>
      </c>
    </row>
    <row r="63" spans="1:5" x14ac:dyDescent="0.2">
      <c r="A63" t="s">
        <v>271</v>
      </c>
      <c r="B63">
        <f>SUM('Input Data'!C38:F38)</f>
        <v>0</v>
      </c>
    </row>
    <row r="64" spans="1:5" x14ac:dyDescent="0.2">
      <c r="A64" t="s">
        <v>272</v>
      </c>
      <c r="B64">
        <f>MAX(0,B62-B63)</f>
        <v>0</v>
      </c>
    </row>
    <row r="66" spans="1:2" x14ac:dyDescent="0.2">
      <c r="A66" t="s">
        <v>273</v>
      </c>
    </row>
    <row r="67" spans="1:2" x14ac:dyDescent="0.2">
      <c r="A67" t="s">
        <v>274</v>
      </c>
      <c r="B67">
        <f>B64/4</f>
        <v>0</v>
      </c>
    </row>
    <row r="68" spans="1:2" x14ac:dyDescent="0.2">
      <c r="A68" t="s">
        <v>275</v>
      </c>
      <c r="B68">
        <f>B64/4</f>
        <v>0</v>
      </c>
    </row>
    <row r="69" spans="1:2" x14ac:dyDescent="0.2">
      <c r="A69" t="s">
        <v>276</v>
      </c>
      <c r="B69">
        <f>B64/4</f>
        <v>0</v>
      </c>
    </row>
    <row r="70" spans="1:2" x14ac:dyDescent="0.2">
      <c r="A70" t="s">
        <v>277</v>
      </c>
      <c r="B70">
        <f>B64/4</f>
        <v>0</v>
      </c>
    </row>
    <row r="72" spans="1:2" x14ac:dyDescent="0.2">
      <c r="A72" t="s">
        <v>278</v>
      </c>
    </row>
    <row r="73" spans="1:2" x14ac:dyDescent="0.2">
      <c r="A73" t="s">
        <v>107</v>
      </c>
      <c r="B73">
        <f>Calculations!B18</f>
        <v>0</v>
      </c>
    </row>
    <row r="74" spans="1:2" x14ac:dyDescent="0.2">
      <c r="A74" t="s">
        <v>279</v>
      </c>
      <c r="B74">
        <f>B62</f>
        <v>0</v>
      </c>
    </row>
    <row r="75" spans="1:2" x14ac:dyDescent="0.2">
      <c r="A75" t="s">
        <v>280</v>
      </c>
      <c r="B75">
        <f>B73+B74</f>
        <v>0</v>
      </c>
    </row>
    <row r="76" spans="1:2" x14ac:dyDescent="0.2">
      <c r="A76" t="s">
        <v>281</v>
      </c>
      <c r="B76">
        <f>IF(Calculations!B4&gt;0,B75/Calculations!B4,0)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F9F5-F63F-B745-A385-A8488595E4BB}">
  <dimension ref="A1:H46"/>
  <sheetViews>
    <sheetView workbookViewId="0">
      <selection activeCell="B4" sqref="B4"/>
    </sheetView>
  </sheetViews>
  <sheetFormatPr baseColWidth="10" defaultRowHeight="16" x14ac:dyDescent="0.2"/>
  <sheetData>
    <row r="1" spans="1:8" x14ac:dyDescent="0.2">
      <c r="A1" t="s">
        <v>282</v>
      </c>
    </row>
    <row r="3" spans="1:8" x14ac:dyDescent="0.2">
      <c r="A3" t="s">
        <v>9</v>
      </c>
      <c r="B3" t="s">
        <v>11</v>
      </c>
      <c r="C3" t="s">
        <v>283</v>
      </c>
      <c r="D3" t="s">
        <v>284</v>
      </c>
      <c r="E3" t="s">
        <v>285</v>
      </c>
      <c r="F3" t="s">
        <v>13</v>
      </c>
      <c r="G3" t="s">
        <v>286</v>
      </c>
      <c r="H3" t="s">
        <v>10</v>
      </c>
    </row>
    <row r="4" spans="1:8" x14ac:dyDescent="0.2">
      <c r="A4" t="s">
        <v>16</v>
      </c>
      <c r="B4" s="1">
        <v>45306</v>
      </c>
      <c r="C4">
        <f>Calculations!$B$30</f>
        <v>0</v>
      </c>
      <c r="D4">
        <f>'State Calculations'!$B$67</f>
        <v>0</v>
      </c>
      <c r="E4">
        <f>C4+D4</f>
        <v>0</v>
      </c>
      <c r="F4">
        <v>0</v>
      </c>
      <c r="G4">
        <f>E4-F4</f>
        <v>0</v>
      </c>
      <c r="H4" t="str">
        <f ca="1">IF(G4=0,"PAID",IF(TODAY()&gt;B4,"OVERDUE","DUE"))</f>
        <v>PAID</v>
      </c>
    </row>
    <row r="5" spans="1:8" x14ac:dyDescent="0.2">
      <c r="A5" t="s">
        <v>17</v>
      </c>
      <c r="B5" s="1">
        <v>45460</v>
      </c>
      <c r="C5">
        <f>Calculations!$B$30</f>
        <v>0</v>
      </c>
      <c r="D5">
        <f>'State Calculations'!$B$67</f>
        <v>0</v>
      </c>
      <c r="E5">
        <f t="shared" ref="E5:E7" si="0">C5+D5</f>
        <v>0</v>
      </c>
      <c r="F5">
        <v>0</v>
      </c>
      <c r="G5">
        <f t="shared" ref="G5:G7" si="1">E5-F5</f>
        <v>0</v>
      </c>
      <c r="H5" t="str">
        <f t="shared" ref="H5:H7" ca="1" si="2">IF(G5=0,"PAID",IF(TODAY()&gt;B5,"OVERDUE","DUE"))</f>
        <v>PAID</v>
      </c>
    </row>
    <row r="6" spans="1:8" x14ac:dyDescent="0.2">
      <c r="A6" t="s">
        <v>18</v>
      </c>
      <c r="B6" s="1">
        <v>45551</v>
      </c>
      <c r="C6">
        <f>Calculations!$B$30</f>
        <v>0</v>
      </c>
      <c r="D6">
        <f>'State Calculations'!$B$67</f>
        <v>0</v>
      </c>
      <c r="E6">
        <f t="shared" si="0"/>
        <v>0</v>
      </c>
      <c r="F6">
        <v>0</v>
      </c>
      <c r="G6">
        <f t="shared" si="1"/>
        <v>0</v>
      </c>
      <c r="H6" t="str">
        <f t="shared" ca="1" si="2"/>
        <v>PAID</v>
      </c>
    </row>
    <row r="7" spans="1:8" x14ac:dyDescent="0.2">
      <c r="A7" t="s">
        <v>19</v>
      </c>
      <c r="B7" s="1">
        <v>45672</v>
      </c>
      <c r="C7">
        <f>Calculations!$B$30</f>
        <v>0</v>
      </c>
      <c r="D7">
        <f>'State Calculations'!$B$67</f>
        <v>0</v>
      </c>
      <c r="E7">
        <f t="shared" si="0"/>
        <v>0</v>
      </c>
      <c r="F7">
        <v>0</v>
      </c>
      <c r="G7">
        <f t="shared" si="1"/>
        <v>0</v>
      </c>
      <c r="H7" t="str">
        <f t="shared" ca="1" si="2"/>
        <v>PAID</v>
      </c>
    </row>
    <row r="9" spans="1:8" x14ac:dyDescent="0.2">
      <c r="A9" t="s">
        <v>287</v>
      </c>
    </row>
    <row r="10" spans="1:8" x14ac:dyDescent="0.2">
      <c r="A10" t="s">
        <v>288</v>
      </c>
      <c r="B10">
        <f>SUM(E4:E7)</f>
        <v>0</v>
      </c>
    </row>
    <row r="11" spans="1:8" x14ac:dyDescent="0.2">
      <c r="A11" t="s">
        <v>289</v>
      </c>
      <c r="B11">
        <f>SUM(F4:F7)</f>
        <v>0</v>
      </c>
    </row>
    <row r="12" spans="1:8" x14ac:dyDescent="0.2">
      <c r="A12" t="s">
        <v>290</v>
      </c>
      <c r="B12">
        <f>B10-B11</f>
        <v>0</v>
      </c>
    </row>
    <row r="13" spans="1:8" x14ac:dyDescent="0.2">
      <c r="A13" t="s">
        <v>6</v>
      </c>
      <c r="B13" cm="1">
        <f t="array" ref="B13">IF(B12&gt;0,INDEX(E4:E7,MATCH(TRUE,G4:G7&lt;&gt;0,0)),0)</f>
        <v>0</v>
      </c>
    </row>
    <row r="14" spans="1:8" x14ac:dyDescent="0.2">
      <c r="A14" t="s">
        <v>7</v>
      </c>
      <c r="B14" t="str" cm="1">
        <f t="array" ref="B14">IF(B12&gt;0,INDEX(B4:B7,MATCH(TRUE,G4:G7&lt;&gt;0,0)),"All Paid")</f>
        <v>All Paid</v>
      </c>
    </row>
    <row r="15" spans="1:8" x14ac:dyDescent="0.2">
      <c r="A15" t="s">
        <v>21</v>
      </c>
      <c r="B15" t="str">
        <f>IF(B11&gt;=Calculations!A25,"PROTECTED","AT RISK")</f>
        <v>PROTECTED</v>
      </c>
    </row>
    <row r="17" spans="1:7" x14ac:dyDescent="0.2">
      <c r="A17" t="s">
        <v>291</v>
      </c>
    </row>
    <row r="18" spans="1:7" x14ac:dyDescent="0.2">
      <c r="A18" t="s">
        <v>292</v>
      </c>
      <c r="B18">
        <f ca="1">IF(AND(B14&lt;&gt;"All Paid",TODAY()&gt;B14),TODAY()-B14,0)</f>
        <v>0</v>
      </c>
    </row>
    <row r="19" spans="1:7" x14ac:dyDescent="0.2">
      <c r="A19" t="s">
        <v>293</v>
      </c>
      <c r="B19" s="2">
        <v>0.08</v>
      </c>
      <c r="D19" t="s">
        <v>294</v>
      </c>
    </row>
    <row r="20" spans="1:7" x14ac:dyDescent="0.2">
      <c r="A20" t="s">
        <v>295</v>
      </c>
      <c r="B20">
        <f ca="1">IF(B18&gt;0,B12*B19*(B18/365),0)</f>
        <v>0</v>
      </c>
    </row>
    <row r="21" spans="1:7" x14ac:dyDescent="0.2">
      <c r="A21" t="s">
        <v>296</v>
      </c>
      <c r="B21">
        <f ca="1">B12+B20</f>
        <v>0</v>
      </c>
    </row>
    <row r="23" spans="1:7" x14ac:dyDescent="0.2">
      <c r="A23" t="s">
        <v>297</v>
      </c>
    </row>
    <row r="24" spans="1:7" x14ac:dyDescent="0.2">
      <c r="A24" t="s">
        <v>298</v>
      </c>
      <c r="B24" t="s">
        <v>9</v>
      </c>
      <c r="C24" t="s">
        <v>201</v>
      </c>
      <c r="D24" t="s">
        <v>184</v>
      </c>
      <c r="E24" t="s">
        <v>299</v>
      </c>
      <c r="F24" t="s">
        <v>300</v>
      </c>
      <c r="G24" t="s">
        <v>202</v>
      </c>
    </row>
    <row r="30" spans="1:7" x14ac:dyDescent="0.2">
      <c r="A30" t="s">
        <v>301</v>
      </c>
    </row>
    <row r="31" spans="1:7" x14ac:dyDescent="0.2">
      <c r="A31" t="s">
        <v>302</v>
      </c>
    </row>
    <row r="32" spans="1:7" x14ac:dyDescent="0.2">
      <c r="A32" t="s">
        <v>303</v>
      </c>
      <c r="B32" t="s">
        <v>304</v>
      </c>
      <c r="D32" t="s">
        <v>305</v>
      </c>
    </row>
    <row r="33" spans="1:7" x14ac:dyDescent="0.2">
      <c r="A33" t="s">
        <v>306</v>
      </c>
      <c r="B33" t="s">
        <v>307</v>
      </c>
      <c r="D33" t="s">
        <v>308</v>
      </c>
    </row>
    <row r="34" spans="1:7" x14ac:dyDescent="0.2">
      <c r="A34" t="s">
        <v>309</v>
      </c>
      <c r="B34" t="s">
        <v>310</v>
      </c>
      <c r="D34" t="s">
        <v>311</v>
      </c>
    </row>
    <row r="36" spans="1:7" x14ac:dyDescent="0.2">
      <c r="A36" t="s">
        <v>312</v>
      </c>
    </row>
    <row r="37" spans="1:7" x14ac:dyDescent="0.2">
      <c r="A37" t="s">
        <v>313</v>
      </c>
      <c r="B37" t="s">
        <v>314</v>
      </c>
    </row>
    <row r="38" spans="1:7" x14ac:dyDescent="0.2">
      <c r="A38" t="s">
        <v>315</v>
      </c>
      <c r="B38" t="s">
        <v>316</v>
      </c>
    </row>
    <row r="40" spans="1:7" x14ac:dyDescent="0.2">
      <c r="A40" t="s">
        <v>317</v>
      </c>
    </row>
    <row r="41" spans="1:7" x14ac:dyDescent="0.2">
      <c r="A41" t="s">
        <v>9</v>
      </c>
      <c r="B41" t="s">
        <v>318</v>
      </c>
      <c r="C41" t="s">
        <v>319</v>
      </c>
      <c r="D41" t="s">
        <v>320</v>
      </c>
      <c r="E41" t="s">
        <v>321</v>
      </c>
      <c r="F41" t="s">
        <v>322</v>
      </c>
      <c r="G41" t="s">
        <v>323</v>
      </c>
    </row>
    <row r="42" spans="1:7" x14ac:dyDescent="0.2">
      <c r="A42" t="s">
        <v>16</v>
      </c>
      <c r="B42" s="6" t="e">
        <f>'[2]Input Data'!C15</f>
        <v>#REF!</v>
      </c>
      <c r="C42" s="6">
        <v>0</v>
      </c>
      <c r="D42" s="6">
        <f>C40-B40</f>
        <v>0</v>
      </c>
      <c r="E42" s="6" t="str">
        <f>C3</f>
        <v>Federal Due</v>
      </c>
      <c r="F42" s="6">
        <v>0</v>
      </c>
      <c r="G42" s="6">
        <f>E40-D40</f>
        <v>0</v>
      </c>
    </row>
    <row r="43" spans="1:7" x14ac:dyDescent="0.2">
      <c r="A43" t="s">
        <v>17</v>
      </c>
      <c r="B43" s="6" t="e">
        <f>'[2]Input Data'!D15</f>
        <v>#REF!</v>
      </c>
      <c r="C43" s="6">
        <v>0</v>
      </c>
      <c r="D43" s="6" t="e">
        <f>C41-B41</f>
        <v>#VALUE!</v>
      </c>
      <c r="E43" s="6">
        <f>C4</f>
        <v>0</v>
      </c>
      <c r="F43" s="6">
        <v>0</v>
      </c>
      <c r="G43" s="6" t="e">
        <f>E41-D41</f>
        <v>#VALUE!</v>
      </c>
    </row>
    <row r="44" spans="1:7" x14ac:dyDescent="0.2">
      <c r="A44" t="s">
        <v>18</v>
      </c>
      <c r="B44" s="6" t="e">
        <f>'[2]Input Data'!E15</f>
        <v>#REF!</v>
      </c>
      <c r="C44" s="6">
        <v>0</v>
      </c>
      <c r="D44" s="6" t="e">
        <f>C42-B42</f>
        <v>#REF!</v>
      </c>
      <c r="E44" s="6">
        <f>C5</f>
        <v>0</v>
      </c>
      <c r="F44" s="6">
        <v>0</v>
      </c>
      <c r="G44" s="6" t="e">
        <f>E42-D42</f>
        <v>#VALUE!</v>
      </c>
    </row>
    <row r="45" spans="1:7" x14ac:dyDescent="0.2">
      <c r="A45" t="s">
        <v>19</v>
      </c>
      <c r="B45" s="6" t="e">
        <f>'[2]Input Data'!F15</f>
        <v>#REF!</v>
      </c>
      <c r="C45" s="6">
        <v>0</v>
      </c>
      <c r="D45" s="6" t="e">
        <f>C43-B43</f>
        <v>#REF!</v>
      </c>
      <c r="E45" s="6">
        <f>C6</f>
        <v>0</v>
      </c>
      <c r="F45" s="6">
        <v>0</v>
      </c>
      <c r="G45" s="6" t="e">
        <f>E43-D43</f>
        <v>#VALUE!</v>
      </c>
    </row>
    <row r="46" spans="1:7" x14ac:dyDescent="0.2">
      <c r="A46" t="s">
        <v>72</v>
      </c>
      <c r="B46" s="6" t="e">
        <f t="shared" ref="B46:G46" si="3">SUM(B40:B43)</f>
        <v>#REF!</v>
      </c>
      <c r="C46" s="6">
        <f t="shared" si="3"/>
        <v>0</v>
      </c>
      <c r="D46" s="6" t="e">
        <f t="shared" si="3"/>
        <v>#VALUE!</v>
      </c>
      <c r="E46" s="6">
        <f t="shared" si="3"/>
        <v>0</v>
      </c>
      <c r="F46" s="6">
        <f t="shared" si="3"/>
        <v>0</v>
      </c>
      <c r="G46" s="6" t="e">
        <f t="shared" si="3"/>
        <v>#VALUE!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B2417-8257-A94F-8DA0-F672B350E6BD}">
  <dimension ref="A1:F51"/>
  <sheetViews>
    <sheetView workbookViewId="0">
      <selection activeCell="C13" sqref="C13"/>
    </sheetView>
  </sheetViews>
  <sheetFormatPr baseColWidth="10" defaultRowHeight="16" x14ac:dyDescent="0.2"/>
  <sheetData>
    <row r="1" spans="1:6" x14ac:dyDescent="0.2">
      <c r="A1" t="s">
        <v>324</v>
      </c>
    </row>
    <row r="3" spans="1:6" x14ac:dyDescent="0.2">
      <c r="A3" t="s">
        <v>325</v>
      </c>
      <c r="C3" t="s">
        <v>326</v>
      </c>
      <c r="D3" t="s">
        <v>327</v>
      </c>
      <c r="E3" t="s">
        <v>328</v>
      </c>
      <c r="F3" t="s">
        <v>329</v>
      </c>
    </row>
    <row r="4" spans="1:6" x14ac:dyDescent="0.2">
      <c r="A4" t="s">
        <v>330</v>
      </c>
      <c r="C4" t="s">
        <v>331</v>
      </c>
      <c r="D4" t="s">
        <v>332</v>
      </c>
      <c r="E4" t="s">
        <v>333</v>
      </c>
      <c r="F4" t="s">
        <v>334</v>
      </c>
    </row>
    <row r="6" spans="1:6" x14ac:dyDescent="0.2">
      <c r="A6" t="s">
        <v>335</v>
      </c>
    </row>
    <row r="7" spans="1:6" x14ac:dyDescent="0.2">
      <c r="A7" t="s">
        <v>336</v>
      </c>
      <c r="C7">
        <f>SUM('Input Data'!C15:F15)</f>
        <v>0</v>
      </c>
      <c r="D7">
        <v>0</v>
      </c>
      <c r="E7">
        <v>0</v>
      </c>
      <c r="F7">
        <v>0</v>
      </c>
    </row>
    <row r="8" spans="1:6" x14ac:dyDescent="0.2">
      <c r="A8" t="s">
        <v>337</v>
      </c>
      <c r="C8">
        <f>SUM('Input Data'!C16:F16)</f>
        <v>0</v>
      </c>
      <c r="D8">
        <v>0</v>
      </c>
      <c r="E8">
        <v>0</v>
      </c>
      <c r="F8">
        <v>0</v>
      </c>
    </row>
    <row r="9" spans="1:6" x14ac:dyDescent="0.2">
      <c r="A9" t="s">
        <v>338</v>
      </c>
      <c r="C9">
        <f>SUM('Input Data'!C17:F17)</f>
        <v>0</v>
      </c>
      <c r="D9">
        <v>0</v>
      </c>
      <c r="E9">
        <v>0</v>
      </c>
      <c r="F9">
        <v>0</v>
      </c>
    </row>
    <row r="10" spans="1:6" x14ac:dyDescent="0.2">
      <c r="A10" t="s">
        <v>339</v>
      </c>
      <c r="C10">
        <f>B7-B8+B9</f>
        <v>0</v>
      </c>
      <c r="D10">
        <f>C7-C8+C9</f>
        <v>0</v>
      </c>
      <c r="E10">
        <f>D7-D8+D9</f>
        <v>0</v>
      </c>
      <c r="F10">
        <f>E7-E8+E9</f>
        <v>0</v>
      </c>
    </row>
    <row r="12" spans="1:6" x14ac:dyDescent="0.2">
      <c r="A12" t="s">
        <v>340</v>
      </c>
    </row>
    <row r="13" spans="1:6" x14ac:dyDescent="0.2">
      <c r="A13" t="s">
        <v>341</v>
      </c>
      <c r="C13">
        <f>SUM('Input Data'!C18:F18)</f>
        <v>0</v>
      </c>
      <c r="D13">
        <v>0</v>
      </c>
      <c r="E13">
        <v>0</v>
      </c>
      <c r="F13">
        <v>0</v>
      </c>
    </row>
    <row r="14" spans="1:6" x14ac:dyDescent="0.2">
      <c r="A14" t="s">
        <v>342</v>
      </c>
      <c r="C14">
        <f>'Input Data'!B24</f>
        <v>0</v>
      </c>
      <c r="D14">
        <v>0</v>
      </c>
      <c r="E14">
        <v>0</v>
      </c>
      <c r="F14">
        <v>0</v>
      </c>
    </row>
    <row r="15" spans="1:6" x14ac:dyDescent="0.2">
      <c r="A15" t="s">
        <v>343</v>
      </c>
      <c r="C15">
        <v>0</v>
      </c>
      <c r="D15">
        <v>0</v>
      </c>
      <c r="E15">
        <v>0</v>
      </c>
      <c r="F15">
        <v>0</v>
      </c>
    </row>
    <row r="16" spans="1:6" x14ac:dyDescent="0.2">
      <c r="A16" t="s">
        <v>344</v>
      </c>
      <c r="C16">
        <v>0</v>
      </c>
      <c r="D16">
        <v>0</v>
      </c>
      <c r="E16">
        <v>0</v>
      </c>
      <c r="F16">
        <v>0</v>
      </c>
    </row>
    <row r="17" spans="1:6" x14ac:dyDescent="0.2">
      <c r="A17" t="s">
        <v>345</v>
      </c>
      <c r="C17">
        <f>B12+B13+B14+B15</f>
        <v>0</v>
      </c>
      <c r="D17">
        <f>C12+C13+C14+C15</f>
        <v>0</v>
      </c>
      <c r="E17">
        <f>D12+D13+D14+D15</f>
        <v>0</v>
      </c>
      <c r="F17">
        <f>E12+E13+E14+E15</f>
        <v>0</v>
      </c>
    </row>
    <row r="19" spans="1:6" x14ac:dyDescent="0.2">
      <c r="A19" t="s">
        <v>103</v>
      </c>
    </row>
    <row r="20" spans="1:6" x14ac:dyDescent="0.2">
      <c r="A20" t="s">
        <v>102</v>
      </c>
      <c r="C20">
        <f>MAX(0,B10-B16-'Input Data'!B21)</f>
        <v>0</v>
      </c>
      <c r="D20">
        <f>MAX(0,C10-C16-'Input Data'!B21)</f>
        <v>0</v>
      </c>
      <c r="E20">
        <f>MAX(0,D10-D16-'Input Data'!B21)</f>
        <v>0</v>
      </c>
      <c r="F20">
        <f>MAX(0,E10-E16-'Input Data'!B21)</f>
        <v>0</v>
      </c>
    </row>
    <row r="21" spans="1:6" x14ac:dyDescent="0.2">
      <c r="A21" t="s">
        <v>346</v>
      </c>
      <c r="C21">
        <f>IF('Input Data'!B2="Single",IF(B18&lt;=11000,B18*0.1,IF(B18&lt;=44725,1100+(B18-11000)*0.12,IF(B18&lt;=95375,5147+(B18-44725)*0.22,IF(B18&lt;=182050,16290+(B18-95375)*0.24,IF(B18&lt;=231250,37104+(B18-182050)*0.32,IF(B18&lt;=578125,52832+(B18-231250)*0.35,174238.25+(B18-578125)*0.37)))))),0)</f>
        <v>0</v>
      </c>
      <c r="D21">
        <f>IF('Input Data'!B2="Single",IF(C18&lt;=11000,C18*0.1,IF(C18&lt;=44725,1100+(C18-11000)*0.12,IF(C18&lt;=95375,5147+(C18-44725)*0.22,IF(C18&lt;=182050,16290+(C18-95375)*0.24,IF(C18&lt;=231250,37104+(C18-182050)*0.32,IF(C18&lt;=578125,52832+(C18-231250)*0.35,174238.25+(C18-578125)*0.37)))))),0)</f>
        <v>0</v>
      </c>
      <c r="E21">
        <f>IF('Input Data'!B2="Single",IF(D18&lt;=11000,D18*0.1,IF(D18&lt;=44725,1100+(D18-11000)*0.12,IF(D18&lt;=95375,5147+(D18-44725)*0.22,IF(D18&lt;=182050,16290+(D18-95375)*0.24,IF(D18&lt;=231250,37104+(D18-182050)*0.32,IF(D18&lt;=578125,52832+(D18-231250)*0.35,174238.25+(D18-578125)*0.37)))))),0)</f>
        <v>0</v>
      </c>
      <c r="F21">
        <f>IF('Input Data'!B2="Single",IF(E18&lt;=11000,E18*0.1,IF(E18&lt;=44725,1100+(E18-11000)*0.12,IF(E18&lt;=95375,5147+(E18-44725)*0.22,IF(E18&lt;=182050,16290+(E18-95375)*0.24,IF(E18&lt;=231250,37104+(E18-182050)*0.32,IF(E18&lt;=578125,52832+(E18-231250)*0.35,174238.25+(E18-578125)*0.37)))))),0)</f>
        <v>0</v>
      </c>
    </row>
    <row r="22" spans="1:6" x14ac:dyDescent="0.2">
      <c r="A22" t="s">
        <v>105</v>
      </c>
      <c r="C22">
        <f>B10*0.9235*0.153</f>
        <v>0</v>
      </c>
      <c r="D22">
        <f>C10*0.9235*0.153</f>
        <v>0</v>
      </c>
      <c r="E22">
        <f>D10*0.9235*0.153</f>
        <v>0</v>
      </c>
      <c r="F22">
        <f>E10*0.9235*0.153</f>
        <v>0</v>
      </c>
    </row>
    <row r="23" spans="1:6" x14ac:dyDescent="0.2">
      <c r="A23" t="s">
        <v>347</v>
      </c>
      <c r="C23">
        <f>B18*'State Calculations'!G3</f>
        <v>0</v>
      </c>
      <c r="D23">
        <f>C18*'State Calculations'!G3</f>
        <v>0</v>
      </c>
      <c r="E23">
        <f>D18*'State Calculations'!G3</f>
        <v>0</v>
      </c>
      <c r="F23">
        <f>E18*'State Calculations'!G3</f>
        <v>0</v>
      </c>
    </row>
    <row r="24" spans="1:6" x14ac:dyDescent="0.2">
      <c r="A24" t="s">
        <v>348</v>
      </c>
      <c r="C24">
        <f>B19+B20+B21</f>
        <v>0</v>
      </c>
      <c r="D24">
        <f>C19+C20+C21</f>
        <v>0</v>
      </c>
      <c r="E24" t="e">
        <f>D19+#REF!+D21</f>
        <v>#REF!</v>
      </c>
      <c r="F24">
        <f>E19+D20+E21</f>
        <v>0</v>
      </c>
    </row>
    <row r="26" spans="1:6" x14ac:dyDescent="0.2">
      <c r="A26" t="s">
        <v>349</v>
      </c>
    </row>
    <row r="27" spans="1:6" x14ac:dyDescent="0.2">
      <c r="A27" t="s">
        <v>127</v>
      </c>
      <c r="C27">
        <f>B10-B22</f>
        <v>0</v>
      </c>
      <c r="D27">
        <f>C10-C22</f>
        <v>0</v>
      </c>
      <c r="E27">
        <f>D10-D22</f>
        <v>0</v>
      </c>
      <c r="F27">
        <f>E10-E22</f>
        <v>0</v>
      </c>
    </row>
    <row r="28" spans="1:6" x14ac:dyDescent="0.2">
      <c r="A28" t="s">
        <v>126</v>
      </c>
      <c r="C28" t="e">
        <f>B22/B10</f>
        <v>#DIV/0!</v>
      </c>
      <c r="D28" t="e">
        <f>C22/C10</f>
        <v>#DIV/0!</v>
      </c>
      <c r="E28" t="e">
        <f>D22/D10</f>
        <v>#DIV/0!</v>
      </c>
      <c r="F28" t="e">
        <f>E22/E10</f>
        <v>#DIV/0!</v>
      </c>
    </row>
    <row r="29" spans="1:6" x14ac:dyDescent="0.2">
      <c r="A29" t="s">
        <v>350</v>
      </c>
      <c r="C29" s="3">
        <v>0</v>
      </c>
      <c r="D29">
        <f>B22-C22</f>
        <v>0</v>
      </c>
      <c r="E29">
        <f>B22-D22</f>
        <v>0</v>
      </c>
      <c r="F29">
        <f>B22-E22</f>
        <v>0</v>
      </c>
    </row>
    <row r="30" spans="1:6" x14ac:dyDescent="0.2">
      <c r="A30" t="s">
        <v>351</v>
      </c>
      <c r="C30" s="2">
        <v>0</v>
      </c>
      <c r="D30" t="e">
        <f>G25/B22</f>
        <v>#DIV/0!</v>
      </c>
      <c r="E30" t="e">
        <f>G25/B22</f>
        <v>#DIV/0!</v>
      </c>
      <c r="F30" t="e">
        <f>G25/B22</f>
        <v>#DIV/0!</v>
      </c>
    </row>
    <row r="32" spans="1:6" x14ac:dyDescent="0.2">
      <c r="A32" t="s">
        <v>352</v>
      </c>
    </row>
    <row r="33" spans="1:6" x14ac:dyDescent="0.2">
      <c r="A33" t="s">
        <v>353</v>
      </c>
      <c r="C33">
        <f>B22/4</f>
        <v>0</v>
      </c>
      <c r="D33">
        <f>C22/4</f>
        <v>0</v>
      </c>
      <c r="E33">
        <f>D22/4</f>
        <v>0</v>
      </c>
      <c r="F33">
        <f>E22/4</f>
        <v>0</v>
      </c>
    </row>
    <row r="34" spans="1:6" x14ac:dyDescent="0.2">
      <c r="A34" t="s">
        <v>354</v>
      </c>
      <c r="C34">
        <f>B22/4</f>
        <v>0</v>
      </c>
      <c r="D34">
        <f>C22/4</f>
        <v>0</v>
      </c>
      <c r="E34">
        <f>D22/4</f>
        <v>0</v>
      </c>
      <c r="F34">
        <f>E22/4</f>
        <v>0</v>
      </c>
    </row>
    <row r="35" spans="1:6" x14ac:dyDescent="0.2">
      <c r="A35" t="s">
        <v>355</v>
      </c>
      <c r="C35">
        <f>B22/4</f>
        <v>0</v>
      </c>
      <c r="D35">
        <f>C22/4</f>
        <v>0</v>
      </c>
      <c r="E35">
        <f>D22/4</f>
        <v>0</v>
      </c>
      <c r="F35">
        <f>E22/4</f>
        <v>0</v>
      </c>
    </row>
    <row r="36" spans="1:6" x14ac:dyDescent="0.2">
      <c r="A36" t="s">
        <v>356</v>
      </c>
      <c r="C36">
        <f>B22/4</f>
        <v>0</v>
      </c>
      <c r="D36">
        <f>C22/4</f>
        <v>0</v>
      </c>
      <c r="E36">
        <f>D22/4</f>
        <v>0</v>
      </c>
      <c r="F36">
        <f>E22/4</f>
        <v>0</v>
      </c>
    </row>
    <row r="38" spans="1:6" x14ac:dyDescent="0.2">
      <c r="A38" t="s">
        <v>357</v>
      </c>
    </row>
    <row r="39" spans="1:6" x14ac:dyDescent="0.2">
      <c r="A39" t="s">
        <v>358</v>
      </c>
      <c r="C39">
        <f>B23/12</f>
        <v>0</v>
      </c>
      <c r="D39">
        <f>C23/12</f>
        <v>0</v>
      </c>
      <c r="E39">
        <f>D23/12</f>
        <v>0</v>
      </c>
      <c r="F39">
        <f>E23/12</f>
        <v>0</v>
      </c>
    </row>
    <row r="40" spans="1:6" x14ac:dyDescent="0.2">
      <c r="A40" t="s">
        <v>359</v>
      </c>
      <c r="C40">
        <f>B22/12</f>
        <v>0</v>
      </c>
      <c r="D40">
        <f>C22/12</f>
        <v>0</v>
      </c>
      <c r="E40">
        <f>D22/12</f>
        <v>0</v>
      </c>
      <c r="F40">
        <f>E22/12</f>
        <v>0</v>
      </c>
    </row>
    <row r="41" spans="1:6" x14ac:dyDescent="0.2">
      <c r="A41" t="s">
        <v>360</v>
      </c>
      <c r="C41">
        <f>B33-B34</f>
        <v>0</v>
      </c>
      <c r="D41">
        <f>C33-C34</f>
        <v>0</v>
      </c>
      <c r="E41">
        <f>D33-D34</f>
        <v>0</v>
      </c>
      <c r="F41">
        <f>E33-E34</f>
        <v>0</v>
      </c>
    </row>
    <row r="43" spans="1:6" x14ac:dyDescent="0.2">
      <c r="A43" t="s">
        <v>361</v>
      </c>
    </row>
    <row r="44" spans="1:6" x14ac:dyDescent="0.2">
      <c r="A44" t="s">
        <v>362</v>
      </c>
      <c r="C44" t="str">
        <f>IF(AND(B22&lt;=C22,B22&lt;=D22,B22&lt;=E22),"Current",IF(AND(C22&lt;=D22,C22&lt;=E22),"Scenario 1",IF(D22&lt;=E22,"Scenario 2","Scenario 3")))</f>
        <v>Current</v>
      </c>
    </row>
    <row r="45" spans="1:6" x14ac:dyDescent="0.2">
      <c r="A45" t="s">
        <v>363</v>
      </c>
      <c r="C45" t="s">
        <v>364</v>
      </c>
    </row>
    <row r="47" spans="1:6" x14ac:dyDescent="0.2">
      <c r="A47" t="s">
        <v>365</v>
      </c>
    </row>
    <row r="48" spans="1:6" x14ac:dyDescent="0.2">
      <c r="A48" t="s">
        <v>366</v>
      </c>
      <c r="C48" t="s">
        <v>367</v>
      </c>
    </row>
    <row r="49" spans="1:3" x14ac:dyDescent="0.2">
      <c r="A49" t="s">
        <v>368</v>
      </c>
      <c r="C49" t="s">
        <v>369</v>
      </c>
    </row>
    <row r="50" spans="1:3" x14ac:dyDescent="0.2">
      <c r="A50" t="s">
        <v>370</v>
      </c>
      <c r="C50" t="s">
        <v>371</v>
      </c>
    </row>
    <row r="51" spans="1:3" x14ac:dyDescent="0.2">
      <c r="A51" t="s">
        <v>372</v>
      </c>
      <c r="C51" t="s">
        <v>373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ADFC-9A99-1542-99C9-5B1EF6FB48D2}">
  <dimension ref="A1:F83"/>
  <sheetViews>
    <sheetView workbookViewId="0">
      <selection activeCell="A37" sqref="A37"/>
    </sheetView>
  </sheetViews>
  <sheetFormatPr baseColWidth="10" defaultRowHeight="16" x14ac:dyDescent="0.2"/>
  <cols>
    <col min="1" max="1" width="31.5" bestFit="1" customWidth="1"/>
    <col min="2" max="2" width="38.6640625" bestFit="1" customWidth="1"/>
    <col min="3" max="3" width="6" bestFit="1" customWidth="1"/>
    <col min="4" max="4" width="9.83203125" bestFit="1" customWidth="1"/>
    <col min="5" max="5" width="19.6640625" bestFit="1" customWidth="1"/>
    <col min="6" max="6" width="23.33203125" bestFit="1" customWidth="1"/>
  </cols>
  <sheetData>
    <row r="1" spans="1:6" x14ac:dyDescent="0.2">
      <c r="A1" t="s">
        <v>374</v>
      </c>
    </row>
    <row r="3" spans="1:6" x14ac:dyDescent="0.2">
      <c r="A3" t="s">
        <v>375</v>
      </c>
    </row>
    <row r="4" spans="1:6" x14ac:dyDescent="0.2">
      <c r="A4" t="s">
        <v>376</v>
      </c>
      <c r="F4" t="s">
        <v>377</v>
      </c>
    </row>
    <row r="5" spans="1:6" x14ac:dyDescent="0.2">
      <c r="A5" t="s">
        <v>378</v>
      </c>
      <c r="F5" t="s">
        <v>379</v>
      </c>
    </row>
    <row r="7" spans="1:6" x14ac:dyDescent="0.2">
      <c r="A7" t="s">
        <v>380</v>
      </c>
      <c r="B7" t="s">
        <v>381</v>
      </c>
      <c r="D7" t="s">
        <v>382</v>
      </c>
      <c r="E7" t="s">
        <v>381</v>
      </c>
    </row>
    <row r="8" spans="1:6" x14ac:dyDescent="0.2">
      <c r="A8" t="s">
        <v>383</v>
      </c>
      <c r="B8" t="s">
        <v>384</v>
      </c>
    </row>
    <row r="9" spans="1:6" x14ac:dyDescent="0.2">
      <c r="A9" t="s">
        <v>385</v>
      </c>
      <c r="B9" t="s">
        <v>381</v>
      </c>
      <c r="D9" t="s">
        <v>382</v>
      </c>
      <c r="E9" t="s">
        <v>381</v>
      </c>
    </row>
    <row r="10" spans="1:6" x14ac:dyDescent="0.2">
      <c r="A10" t="s">
        <v>386</v>
      </c>
      <c r="B10" t="s">
        <v>384</v>
      </c>
    </row>
    <row r="12" spans="1:6" x14ac:dyDescent="0.2">
      <c r="A12" t="s">
        <v>387</v>
      </c>
      <c r="B12" t="s">
        <v>388</v>
      </c>
    </row>
    <row r="13" spans="1:6" x14ac:dyDescent="0.2">
      <c r="A13" t="s">
        <v>389</v>
      </c>
      <c r="B13" t="s">
        <v>388</v>
      </c>
    </row>
    <row r="15" spans="1:6" x14ac:dyDescent="0.2">
      <c r="A15" t="s">
        <v>390</v>
      </c>
      <c r="B15" t="s">
        <v>391</v>
      </c>
    </row>
    <row r="16" spans="1:6" x14ac:dyDescent="0.2">
      <c r="A16" t="s">
        <v>392</v>
      </c>
      <c r="B16" t="s">
        <v>393</v>
      </c>
      <c r="C16" t="e">
        <f>[3]Calculations!C31</f>
        <v>#REF!</v>
      </c>
    </row>
    <row r="18" spans="1:6" x14ac:dyDescent="0.2">
      <c r="A18" t="s">
        <v>394</v>
      </c>
      <c r="B18" t="s">
        <v>395</v>
      </c>
    </row>
    <row r="19" spans="1:6" x14ac:dyDescent="0.2">
      <c r="A19" t="s">
        <v>396</v>
      </c>
      <c r="B19" t="s">
        <v>397</v>
      </c>
    </row>
    <row r="20" spans="1:6" x14ac:dyDescent="0.2">
      <c r="A20" t="s">
        <v>398</v>
      </c>
      <c r="B20" t="s">
        <v>399</v>
      </c>
    </row>
    <row r="22" spans="1:6" x14ac:dyDescent="0.2">
      <c r="A22" t="s">
        <v>400</v>
      </c>
    </row>
    <row r="24" spans="1:6" x14ac:dyDescent="0.2">
      <c r="A24" t="s">
        <v>401</v>
      </c>
    </row>
    <row r="25" spans="1:6" x14ac:dyDescent="0.2">
      <c r="A25" t="s">
        <v>376</v>
      </c>
      <c r="F25" t="s">
        <v>377</v>
      </c>
    </row>
    <row r="26" spans="1:6" x14ac:dyDescent="0.2">
      <c r="A26" t="s">
        <v>378</v>
      </c>
      <c r="F26" t="s">
        <v>379</v>
      </c>
    </row>
    <row r="28" spans="1:6" x14ac:dyDescent="0.2">
      <c r="A28" t="s">
        <v>380</v>
      </c>
      <c r="B28" t="s">
        <v>381</v>
      </c>
      <c r="D28" t="s">
        <v>382</v>
      </c>
      <c r="E28" t="s">
        <v>381</v>
      </c>
    </row>
    <row r="29" spans="1:6" x14ac:dyDescent="0.2">
      <c r="A29" t="s">
        <v>383</v>
      </c>
      <c r="B29" t="s">
        <v>384</v>
      </c>
    </row>
    <row r="30" spans="1:6" x14ac:dyDescent="0.2">
      <c r="A30" t="s">
        <v>385</v>
      </c>
      <c r="B30" t="s">
        <v>381</v>
      </c>
      <c r="D30" t="s">
        <v>382</v>
      </c>
      <c r="E30" t="s">
        <v>381</v>
      </c>
    </row>
    <row r="31" spans="1:6" x14ac:dyDescent="0.2">
      <c r="A31" t="s">
        <v>386</v>
      </c>
      <c r="B31" t="s">
        <v>384</v>
      </c>
    </row>
    <row r="33" spans="1:6" x14ac:dyDescent="0.2">
      <c r="A33" t="s">
        <v>387</v>
      </c>
      <c r="B33" t="s">
        <v>388</v>
      </c>
    </row>
    <row r="34" spans="1:6" x14ac:dyDescent="0.2">
      <c r="A34" t="s">
        <v>389</v>
      </c>
      <c r="B34" t="s">
        <v>388</v>
      </c>
    </row>
    <row r="36" spans="1:6" x14ac:dyDescent="0.2">
      <c r="A36" t="s">
        <v>390</v>
      </c>
      <c r="B36" t="s">
        <v>402</v>
      </c>
    </row>
    <row r="37" spans="1:6" x14ac:dyDescent="0.2">
      <c r="A37" t="s">
        <v>392</v>
      </c>
      <c r="B37" t="s">
        <v>393</v>
      </c>
      <c r="C37" t="e">
        <f>[3]Calculations!D31</f>
        <v>#REF!</v>
      </c>
    </row>
    <row r="39" spans="1:6" x14ac:dyDescent="0.2">
      <c r="A39" t="s">
        <v>394</v>
      </c>
      <c r="B39" t="s">
        <v>395</v>
      </c>
    </row>
    <row r="40" spans="1:6" x14ac:dyDescent="0.2">
      <c r="A40" t="s">
        <v>396</v>
      </c>
      <c r="B40" t="s">
        <v>397</v>
      </c>
    </row>
    <row r="41" spans="1:6" x14ac:dyDescent="0.2">
      <c r="A41" t="s">
        <v>398</v>
      </c>
      <c r="B41" t="s">
        <v>399</v>
      </c>
    </row>
    <row r="43" spans="1:6" x14ac:dyDescent="0.2">
      <c r="A43" t="s">
        <v>400</v>
      </c>
    </row>
    <row r="45" spans="1:6" x14ac:dyDescent="0.2">
      <c r="A45" t="s">
        <v>403</v>
      </c>
    </row>
    <row r="46" spans="1:6" x14ac:dyDescent="0.2">
      <c r="A46" t="s">
        <v>376</v>
      </c>
      <c r="F46" t="s">
        <v>377</v>
      </c>
    </row>
    <row r="47" spans="1:6" x14ac:dyDescent="0.2">
      <c r="A47" t="s">
        <v>378</v>
      </c>
      <c r="F47" t="s">
        <v>379</v>
      </c>
    </row>
    <row r="49" spans="1:5" x14ac:dyDescent="0.2">
      <c r="A49" t="s">
        <v>380</v>
      </c>
      <c r="B49" t="s">
        <v>381</v>
      </c>
      <c r="D49" t="s">
        <v>382</v>
      </c>
      <c r="E49" t="s">
        <v>381</v>
      </c>
    </row>
    <row r="50" spans="1:5" x14ac:dyDescent="0.2">
      <c r="A50" t="s">
        <v>383</v>
      </c>
      <c r="B50" t="s">
        <v>384</v>
      </c>
    </row>
    <row r="51" spans="1:5" x14ac:dyDescent="0.2">
      <c r="A51" t="s">
        <v>385</v>
      </c>
      <c r="B51" t="s">
        <v>381</v>
      </c>
      <c r="D51" t="s">
        <v>382</v>
      </c>
      <c r="E51" t="s">
        <v>381</v>
      </c>
    </row>
    <row r="52" spans="1:5" x14ac:dyDescent="0.2">
      <c r="A52" t="s">
        <v>386</v>
      </c>
      <c r="B52" t="s">
        <v>384</v>
      </c>
    </row>
    <row r="54" spans="1:5" x14ac:dyDescent="0.2">
      <c r="A54" t="s">
        <v>387</v>
      </c>
      <c r="B54" t="s">
        <v>388</v>
      </c>
    </row>
    <row r="55" spans="1:5" x14ac:dyDescent="0.2">
      <c r="A55" t="s">
        <v>389</v>
      </c>
      <c r="B55" t="s">
        <v>388</v>
      </c>
    </row>
    <row r="57" spans="1:5" x14ac:dyDescent="0.2">
      <c r="A57" t="s">
        <v>390</v>
      </c>
      <c r="B57" t="s">
        <v>404</v>
      </c>
    </row>
    <row r="58" spans="1:5" x14ac:dyDescent="0.2">
      <c r="A58" t="s">
        <v>392</v>
      </c>
      <c r="B58" t="s">
        <v>393</v>
      </c>
      <c r="C58" t="e">
        <f>[3]Calculations!E31</f>
        <v>#REF!</v>
      </c>
    </row>
    <row r="60" spans="1:5" x14ac:dyDescent="0.2">
      <c r="A60" t="s">
        <v>394</v>
      </c>
      <c r="B60" t="s">
        <v>395</v>
      </c>
    </row>
    <row r="61" spans="1:5" x14ac:dyDescent="0.2">
      <c r="A61" t="s">
        <v>396</v>
      </c>
      <c r="B61" t="s">
        <v>397</v>
      </c>
    </row>
    <row r="62" spans="1:5" x14ac:dyDescent="0.2">
      <c r="A62" t="s">
        <v>398</v>
      </c>
      <c r="B62" t="s">
        <v>399</v>
      </c>
    </row>
    <row r="64" spans="1:5" x14ac:dyDescent="0.2">
      <c r="A64" t="s">
        <v>400</v>
      </c>
    </row>
    <row r="66" spans="1:6" x14ac:dyDescent="0.2">
      <c r="A66" t="s">
        <v>405</v>
      </c>
    </row>
    <row r="67" spans="1:6" x14ac:dyDescent="0.2">
      <c r="A67" t="s">
        <v>376</v>
      </c>
      <c r="F67" t="s">
        <v>377</v>
      </c>
    </row>
    <row r="68" spans="1:6" x14ac:dyDescent="0.2">
      <c r="A68" t="s">
        <v>378</v>
      </c>
      <c r="F68" t="s">
        <v>379</v>
      </c>
    </row>
    <row r="70" spans="1:6" x14ac:dyDescent="0.2">
      <c r="A70" t="s">
        <v>380</v>
      </c>
      <c r="B70" t="s">
        <v>381</v>
      </c>
      <c r="D70" t="s">
        <v>382</v>
      </c>
      <c r="E70" t="s">
        <v>381</v>
      </c>
    </row>
    <row r="71" spans="1:6" x14ac:dyDescent="0.2">
      <c r="A71" t="s">
        <v>383</v>
      </c>
      <c r="B71" t="s">
        <v>384</v>
      </c>
    </row>
    <row r="72" spans="1:6" x14ac:dyDescent="0.2">
      <c r="A72" t="s">
        <v>385</v>
      </c>
      <c r="B72" t="s">
        <v>381</v>
      </c>
      <c r="D72" t="s">
        <v>382</v>
      </c>
      <c r="E72" t="s">
        <v>381</v>
      </c>
    </row>
    <row r="73" spans="1:6" x14ac:dyDescent="0.2">
      <c r="A73" t="s">
        <v>386</v>
      </c>
      <c r="B73" t="s">
        <v>384</v>
      </c>
    </row>
    <row r="75" spans="1:6" x14ac:dyDescent="0.2">
      <c r="A75" t="s">
        <v>387</v>
      </c>
      <c r="B75" t="s">
        <v>388</v>
      </c>
    </row>
    <row r="76" spans="1:6" x14ac:dyDescent="0.2">
      <c r="A76" t="s">
        <v>389</v>
      </c>
      <c r="B76" t="s">
        <v>388</v>
      </c>
    </row>
    <row r="78" spans="1:6" x14ac:dyDescent="0.2">
      <c r="A78" t="s">
        <v>390</v>
      </c>
      <c r="B78" t="s">
        <v>406</v>
      </c>
    </row>
    <row r="79" spans="1:6" x14ac:dyDescent="0.2">
      <c r="A79" t="s">
        <v>392</v>
      </c>
      <c r="B79" t="s">
        <v>393</v>
      </c>
      <c r="C79" t="e">
        <f>[3]Calculations!F31</f>
        <v>#REF!</v>
      </c>
    </row>
    <row r="81" spans="1:2" x14ac:dyDescent="0.2">
      <c r="A81" t="s">
        <v>394</v>
      </c>
      <c r="B81" t="s">
        <v>395</v>
      </c>
    </row>
    <row r="82" spans="1:2" x14ac:dyDescent="0.2">
      <c r="A82" t="s">
        <v>396</v>
      </c>
      <c r="B82" t="s">
        <v>397</v>
      </c>
    </row>
    <row r="83" spans="1:2" x14ac:dyDescent="0.2">
      <c r="A83" t="s">
        <v>398</v>
      </c>
      <c r="B83" t="s">
        <v>399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BA9A8-18A6-B84D-B0D3-A5AFFF7C07F7}">
  <dimension ref="A1:A105"/>
  <sheetViews>
    <sheetView topLeftCell="A18" workbookViewId="0">
      <selection activeCell="C17" sqref="C17"/>
    </sheetView>
  </sheetViews>
  <sheetFormatPr baseColWidth="10" defaultRowHeight="16" x14ac:dyDescent="0.2"/>
  <sheetData>
    <row r="1" spans="1:1" x14ac:dyDescent="0.2">
      <c r="A1" t="s">
        <v>407</v>
      </c>
    </row>
    <row r="2" spans="1:1" x14ac:dyDescent="0.2">
      <c r="A2" t="s">
        <v>1</v>
      </c>
    </row>
    <row r="4" spans="1:1" x14ac:dyDescent="0.2">
      <c r="A4" t="s">
        <v>408</v>
      </c>
    </row>
    <row r="6" spans="1:1" x14ac:dyDescent="0.2">
      <c r="A6" t="s">
        <v>409</v>
      </c>
    </row>
    <row r="7" spans="1:1" x14ac:dyDescent="0.2">
      <c r="A7" t="s">
        <v>410</v>
      </c>
    </row>
    <row r="8" spans="1:1" x14ac:dyDescent="0.2">
      <c r="A8" t="s">
        <v>411</v>
      </c>
    </row>
    <row r="9" spans="1:1" x14ac:dyDescent="0.2">
      <c r="A9" t="s">
        <v>412</v>
      </c>
    </row>
    <row r="10" spans="1:1" x14ac:dyDescent="0.2">
      <c r="A10" t="s">
        <v>413</v>
      </c>
    </row>
    <row r="11" spans="1:1" x14ac:dyDescent="0.2">
      <c r="A11" t="s">
        <v>414</v>
      </c>
    </row>
    <row r="13" spans="1:1" x14ac:dyDescent="0.2">
      <c r="A13" t="s">
        <v>415</v>
      </c>
    </row>
    <row r="14" spans="1:1" x14ac:dyDescent="0.2">
      <c r="A14" t="s">
        <v>416</v>
      </c>
    </row>
    <row r="15" spans="1:1" x14ac:dyDescent="0.2">
      <c r="A15" t="s">
        <v>417</v>
      </c>
    </row>
    <row r="16" spans="1:1" x14ac:dyDescent="0.2">
      <c r="A16" t="s">
        <v>418</v>
      </c>
    </row>
    <row r="17" spans="1:1" x14ac:dyDescent="0.2">
      <c r="A17" t="s">
        <v>419</v>
      </c>
    </row>
    <row r="18" spans="1:1" x14ac:dyDescent="0.2">
      <c r="A18" t="s">
        <v>420</v>
      </c>
    </row>
    <row r="20" spans="1:1" x14ac:dyDescent="0.2">
      <c r="A20" t="s">
        <v>421</v>
      </c>
    </row>
    <row r="21" spans="1:1" x14ac:dyDescent="0.2">
      <c r="A21" t="s">
        <v>422</v>
      </c>
    </row>
    <row r="22" spans="1:1" x14ac:dyDescent="0.2">
      <c r="A22" t="s">
        <v>423</v>
      </c>
    </row>
    <row r="23" spans="1:1" x14ac:dyDescent="0.2">
      <c r="A23" t="s">
        <v>424</v>
      </c>
    </row>
    <row r="24" spans="1:1" x14ac:dyDescent="0.2">
      <c r="A24" t="s">
        <v>425</v>
      </c>
    </row>
    <row r="25" spans="1:1" x14ac:dyDescent="0.2">
      <c r="A25" t="s">
        <v>426</v>
      </c>
    </row>
    <row r="27" spans="1:1" x14ac:dyDescent="0.2">
      <c r="A27" t="s">
        <v>427</v>
      </c>
    </row>
    <row r="28" spans="1:1" x14ac:dyDescent="0.2">
      <c r="A28" t="s">
        <v>428</v>
      </c>
    </row>
    <row r="29" spans="1:1" x14ac:dyDescent="0.2">
      <c r="A29" t="s">
        <v>429</v>
      </c>
    </row>
    <row r="30" spans="1:1" x14ac:dyDescent="0.2">
      <c r="A30" t="s">
        <v>430</v>
      </c>
    </row>
    <row r="31" spans="1:1" x14ac:dyDescent="0.2">
      <c r="A31" t="s">
        <v>431</v>
      </c>
    </row>
    <row r="33" spans="1:1" x14ac:dyDescent="0.2">
      <c r="A33" t="s">
        <v>432</v>
      </c>
    </row>
    <row r="34" spans="1:1" x14ac:dyDescent="0.2">
      <c r="A34" t="s">
        <v>433</v>
      </c>
    </row>
    <row r="35" spans="1:1" x14ac:dyDescent="0.2">
      <c r="A35" t="s">
        <v>434</v>
      </c>
    </row>
    <row r="36" spans="1:1" x14ac:dyDescent="0.2">
      <c r="A36" t="s">
        <v>435</v>
      </c>
    </row>
    <row r="37" spans="1:1" x14ac:dyDescent="0.2">
      <c r="A37" t="s">
        <v>436</v>
      </c>
    </row>
    <row r="39" spans="1:1" x14ac:dyDescent="0.2">
      <c r="A39" t="s">
        <v>437</v>
      </c>
    </row>
    <row r="41" spans="1:1" x14ac:dyDescent="0.2">
      <c r="A41" t="s">
        <v>438</v>
      </c>
    </row>
    <row r="42" spans="1:1" x14ac:dyDescent="0.2">
      <c r="A42" t="s">
        <v>439</v>
      </c>
    </row>
    <row r="43" spans="1:1" x14ac:dyDescent="0.2">
      <c r="A43" t="s">
        <v>440</v>
      </c>
    </row>
    <row r="44" spans="1:1" x14ac:dyDescent="0.2">
      <c r="A44" t="s">
        <v>441</v>
      </c>
    </row>
    <row r="46" spans="1:1" x14ac:dyDescent="0.2">
      <c r="A46" t="s">
        <v>442</v>
      </c>
    </row>
    <row r="47" spans="1:1" x14ac:dyDescent="0.2">
      <c r="A47" t="s">
        <v>443</v>
      </c>
    </row>
    <row r="48" spans="1:1" x14ac:dyDescent="0.2">
      <c r="A48" t="s">
        <v>444</v>
      </c>
    </row>
    <row r="49" spans="1:1" x14ac:dyDescent="0.2">
      <c r="A49" t="s">
        <v>445</v>
      </c>
    </row>
    <row r="50" spans="1:1" x14ac:dyDescent="0.2">
      <c r="A50" t="s">
        <v>446</v>
      </c>
    </row>
    <row r="51" spans="1:1" x14ac:dyDescent="0.2">
      <c r="A51" t="s">
        <v>447</v>
      </c>
    </row>
    <row r="53" spans="1:1" x14ac:dyDescent="0.2">
      <c r="A53" t="s">
        <v>448</v>
      </c>
    </row>
    <row r="54" spans="1:1" x14ac:dyDescent="0.2">
      <c r="A54" t="s">
        <v>449</v>
      </c>
    </row>
    <row r="55" spans="1:1" x14ac:dyDescent="0.2">
      <c r="A55" t="s">
        <v>450</v>
      </c>
    </row>
    <row r="56" spans="1:1" x14ac:dyDescent="0.2">
      <c r="A56" t="s">
        <v>451</v>
      </c>
    </row>
    <row r="57" spans="1:1" x14ac:dyDescent="0.2">
      <c r="A57" t="s">
        <v>452</v>
      </c>
    </row>
    <row r="59" spans="1:1" x14ac:dyDescent="0.2">
      <c r="A59" t="s">
        <v>453</v>
      </c>
    </row>
    <row r="60" spans="1:1" x14ac:dyDescent="0.2">
      <c r="A60" t="s">
        <v>454</v>
      </c>
    </row>
    <row r="61" spans="1:1" x14ac:dyDescent="0.2">
      <c r="A61" t="s">
        <v>455</v>
      </c>
    </row>
    <row r="62" spans="1:1" x14ac:dyDescent="0.2">
      <c r="A62" t="s">
        <v>456</v>
      </c>
    </row>
    <row r="64" spans="1:1" x14ac:dyDescent="0.2">
      <c r="A64" t="s">
        <v>457</v>
      </c>
    </row>
    <row r="65" spans="1:1" x14ac:dyDescent="0.2">
      <c r="A65" t="s">
        <v>458</v>
      </c>
    </row>
    <row r="66" spans="1:1" x14ac:dyDescent="0.2">
      <c r="A66" t="s">
        <v>459</v>
      </c>
    </row>
    <row r="67" spans="1:1" x14ac:dyDescent="0.2">
      <c r="A67" t="s">
        <v>460</v>
      </c>
    </row>
    <row r="68" spans="1:1" x14ac:dyDescent="0.2">
      <c r="A68" t="s">
        <v>461</v>
      </c>
    </row>
    <row r="70" spans="1:1" x14ac:dyDescent="0.2">
      <c r="A70" t="s">
        <v>462</v>
      </c>
    </row>
    <row r="71" spans="1:1" x14ac:dyDescent="0.2">
      <c r="A71" t="s">
        <v>463</v>
      </c>
    </row>
    <row r="73" spans="1:1" x14ac:dyDescent="0.2">
      <c r="A73" t="s">
        <v>464</v>
      </c>
    </row>
    <row r="75" spans="1:1" x14ac:dyDescent="0.2">
      <c r="A75" t="s">
        <v>465</v>
      </c>
    </row>
    <row r="76" spans="1:1" x14ac:dyDescent="0.2">
      <c r="A76" t="s">
        <v>466</v>
      </c>
    </row>
    <row r="77" spans="1:1" x14ac:dyDescent="0.2">
      <c r="A77" t="s">
        <v>467</v>
      </c>
    </row>
    <row r="78" spans="1:1" x14ac:dyDescent="0.2">
      <c r="A78" t="s">
        <v>468</v>
      </c>
    </row>
    <row r="79" spans="1:1" x14ac:dyDescent="0.2">
      <c r="A79" t="s">
        <v>469</v>
      </c>
    </row>
    <row r="80" spans="1:1" x14ac:dyDescent="0.2">
      <c r="A80" t="s">
        <v>470</v>
      </c>
    </row>
    <row r="82" spans="1:1" x14ac:dyDescent="0.2">
      <c r="A82" t="s">
        <v>105</v>
      </c>
    </row>
    <row r="83" spans="1:1" x14ac:dyDescent="0.2">
      <c r="A83" t="s">
        <v>471</v>
      </c>
    </row>
    <row r="84" spans="1:1" x14ac:dyDescent="0.2">
      <c r="A84" t="s">
        <v>472</v>
      </c>
    </row>
    <row r="85" spans="1:1" x14ac:dyDescent="0.2">
      <c r="A85" t="s">
        <v>473</v>
      </c>
    </row>
    <row r="87" spans="1:1" x14ac:dyDescent="0.2">
      <c r="A87" t="s">
        <v>474</v>
      </c>
    </row>
    <row r="89" spans="1:1" x14ac:dyDescent="0.2">
      <c r="A89" t="s">
        <v>475</v>
      </c>
    </row>
    <row r="90" spans="1:1" x14ac:dyDescent="0.2">
      <c r="A90" t="s">
        <v>476</v>
      </c>
    </row>
    <row r="91" spans="1:1" x14ac:dyDescent="0.2">
      <c r="A91" t="s">
        <v>477</v>
      </c>
    </row>
    <row r="92" spans="1:1" x14ac:dyDescent="0.2">
      <c r="A92" t="s">
        <v>478</v>
      </c>
    </row>
    <row r="93" spans="1:1" x14ac:dyDescent="0.2">
      <c r="A93" t="s">
        <v>479</v>
      </c>
    </row>
    <row r="95" spans="1:1" x14ac:dyDescent="0.2">
      <c r="A95" t="s">
        <v>480</v>
      </c>
    </row>
    <row r="97" spans="1:1" x14ac:dyDescent="0.2">
      <c r="A97" t="s">
        <v>481</v>
      </c>
    </row>
    <row r="98" spans="1:1" x14ac:dyDescent="0.2">
      <c r="A98" t="s">
        <v>482</v>
      </c>
    </row>
    <row r="100" spans="1:1" x14ac:dyDescent="0.2">
      <c r="A100" t="s">
        <v>483</v>
      </c>
    </row>
    <row r="101" spans="1:1" x14ac:dyDescent="0.2">
      <c r="A101" t="s">
        <v>484</v>
      </c>
    </row>
    <row r="102" spans="1:1" x14ac:dyDescent="0.2">
      <c r="A102" t="s">
        <v>485</v>
      </c>
    </row>
    <row r="103" spans="1:1" x14ac:dyDescent="0.2">
      <c r="A103" t="s">
        <v>486</v>
      </c>
    </row>
    <row r="105" spans="1:1" x14ac:dyDescent="0.2">
      <c r="A105" t="s">
        <v>487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Input Data</vt:lpstr>
      <vt:lpstr>Calculations</vt:lpstr>
      <vt:lpstr>Tax Tables</vt:lpstr>
      <vt:lpstr>State Calculations</vt:lpstr>
      <vt:lpstr>Payment Tracker</vt:lpstr>
      <vt:lpstr>Scenarios</vt:lpstr>
      <vt:lpstr>Vouchers</vt:lpstr>
      <vt:lpstr>Help &amp; 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Sparano</dc:creator>
  <cp:lastModifiedBy>Daniel Sparano</cp:lastModifiedBy>
  <dcterms:created xsi:type="dcterms:W3CDTF">2025-06-26T21:48:27Z</dcterms:created>
  <dcterms:modified xsi:type="dcterms:W3CDTF">2025-06-30T21:34:52Z</dcterms:modified>
</cp:coreProperties>
</file>