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niel/Documents/AppProjects/EN-Tax-Website/"/>
    </mc:Choice>
  </mc:AlternateContent>
  <xr:revisionPtr revIDLastSave="0" documentId="8_{FBCBAD5C-9CF6-A146-804F-1C0C44D76099}" xr6:coauthVersionLast="47" xr6:coauthVersionMax="47" xr10:uidLastSave="{00000000-0000-0000-0000-000000000000}"/>
  <bookViews>
    <workbookView xWindow="8520" yWindow="780" windowWidth="25680" windowHeight="19900" activeTab="4" xr2:uid="{00000000-000D-0000-FFFF-FFFF00000000}"/>
  </bookViews>
  <sheets>
    <sheet name="Transactions" sheetId="11" r:id="rId1"/>
    <sheet name="Year Detail" sheetId="10" r:id="rId2"/>
    <sheet name="Categories" sheetId="12" r:id="rId3"/>
    <sheet name="Income-Expense By Month" sheetId="3" r:id="rId4"/>
    <sheet name="Annual Summary" sheetId="9" r:id="rId5"/>
    <sheet name="Savings Tracker" sheetId="5" r:id="rId6"/>
    <sheet name="Tax Deductions" sheetId="6" r:id="rId7"/>
    <sheet name="Charts" sheetId="7" r:id="rId8"/>
    <sheet name="Settings &amp; Help" sheetId="8"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0" l="1"/>
  <c r="C4" i="10"/>
  <c r="D4" i="10"/>
  <c r="E4" i="10"/>
  <c r="E8" i="10" s="1"/>
  <c r="F4" i="10"/>
  <c r="G4" i="10"/>
  <c r="H4" i="10"/>
  <c r="I4" i="10"/>
  <c r="J4" i="10"/>
  <c r="K4" i="10"/>
  <c r="L4" i="10"/>
  <c r="M4" i="10"/>
  <c r="M8" i="10" s="1"/>
  <c r="B5" i="10"/>
  <c r="C5" i="10"/>
  <c r="D5" i="10"/>
  <c r="E5" i="10"/>
  <c r="F5" i="10"/>
  <c r="G5" i="10"/>
  <c r="H5" i="10"/>
  <c r="I5" i="10"/>
  <c r="J5" i="10"/>
  <c r="K5" i="10"/>
  <c r="L5" i="10"/>
  <c r="M5" i="10"/>
  <c r="B6" i="10"/>
  <c r="C6" i="10"/>
  <c r="D6" i="10"/>
  <c r="E6" i="10"/>
  <c r="F6" i="10"/>
  <c r="G6" i="10"/>
  <c r="H6" i="10"/>
  <c r="I6" i="10"/>
  <c r="J6" i="10"/>
  <c r="K6" i="10"/>
  <c r="L6" i="10"/>
  <c r="M6" i="10"/>
  <c r="B7" i="10"/>
  <c r="C7" i="10"/>
  <c r="D7" i="10"/>
  <c r="E7" i="10"/>
  <c r="F7" i="10"/>
  <c r="G7" i="10"/>
  <c r="H7" i="10"/>
  <c r="I7" i="10"/>
  <c r="J7" i="10"/>
  <c r="K7" i="10"/>
  <c r="L7" i="10"/>
  <c r="M7" i="10"/>
  <c r="B10" i="10"/>
  <c r="C10" i="10"/>
  <c r="D10" i="10"/>
  <c r="D12" i="10" s="1"/>
  <c r="E10" i="10"/>
  <c r="E12" i="10" s="1"/>
  <c r="F10" i="10"/>
  <c r="G10" i="10"/>
  <c r="G12" i="10" s="1"/>
  <c r="H10" i="10"/>
  <c r="I10" i="10"/>
  <c r="J10" i="10"/>
  <c r="K10" i="10"/>
  <c r="L10" i="10"/>
  <c r="M10" i="10"/>
  <c r="B11" i="10"/>
  <c r="C11" i="10"/>
  <c r="C12" i="10" s="1"/>
  <c r="D11" i="10"/>
  <c r="E11" i="10"/>
  <c r="F11" i="10"/>
  <c r="G11" i="10"/>
  <c r="H11" i="10"/>
  <c r="I11" i="10"/>
  <c r="J11" i="10"/>
  <c r="J12" i="10" s="1"/>
  <c r="K11" i="10"/>
  <c r="K12" i="10" s="1"/>
  <c r="L11" i="10"/>
  <c r="M11" i="10"/>
  <c r="L12" i="10"/>
  <c r="M12" i="10"/>
  <c r="B16" i="10"/>
  <c r="N16" i="10" s="1"/>
  <c r="C16" i="10"/>
  <c r="D16" i="10"/>
  <c r="E16" i="10"/>
  <c r="F16" i="10"/>
  <c r="G16" i="10"/>
  <c r="H16" i="10"/>
  <c r="I16" i="10"/>
  <c r="J16" i="10"/>
  <c r="J26" i="10" s="1"/>
  <c r="K16" i="10"/>
  <c r="L16" i="10"/>
  <c r="M16" i="10"/>
  <c r="B17" i="10"/>
  <c r="C17" i="10"/>
  <c r="D17" i="10"/>
  <c r="E17" i="10"/>
  <c r="F17" i="10"/>
  <c r="G17" i="10"/>
  <c r="H17" i="10"/>
  <c r="I17" i="10"/>
  <c r="J17" i="10"/>
  <c r="K17" i="10"/>
  <c r="L17" i="10"/>
  <c r="M17" i="10"/>
  <c r="B18" i="10"/>
  <c r="C18" i="10"/>
  <c r="D18" i="10"/>
  <c r="E18" i="10"/>
  <c r="F18" i="10"/>
  <c r="G18" i="10"/>
  <c r="H18" i="10"/>
  <c r="I18" i="10"/>
  <c r="J18" i="10"/>
  <c r="K18" i="10"/>
  <c r="L18" i="10"/>
  <c r="M18" i="10"/>
  <c r="B19" i="10"/>
  <c r="C19" i="10"/>
  <c r="D19" i="10"/>
  <c r="E19" i="10"/>
  <c r="F19" i="10"/>
  <c r="G19" i="10"/>
  <c r="H19" i="10"/>
  <c r="I19" i="10"/>
  <c r="J19" i="10"/>
  <c r="K19" i="10"/>
  <c r="L19" i="10"/>
  <c r="M19" i="10"/>
  <c r="B20" i="10"/>
  <c r="C20" i="10"/>
  <c r="D20" i="10"/>
  <c r="E20" i="10"/>
  <c r="F20" i="10"/>
  <c r="G20" i="10"/>
  <c r="H20" i="10"/>
  <c r="I20" i="10"/>
  <c r="J20" i="10"/>
  <c r="K20" i="10"/>
  <c r="L20" i="10"/>
  <c r="M20" i="10"/>
  <c r="B21" i="10"/>
  <c r="C21" i="10"/>
  <c r="D21" i="10"/>
  <c r="E21" i="10"/>
  <c r="F21" i="10"/>
  <c r="G21" i="10"/>
  <c r="H21" i="10"/>
  <c r="I21" i="10"/>
  <c r="J21" i="10"/>
  <c r="K21" i="10"/>
  <c r="L21" i="10"/>
  <c r="M21" i="10"/>
  <c r="B22" i="10"/>
  <c r="C22" i="10"/>
  <c r="D22" i="10"/>
  <c r="E22" i="10"/>
  <c r="F22" i="10"/>
  <c r="G22" i="10"/>
  <c r="H22" i="10"/>
  <c r="I22" i="10"/>
  <c r="J22" i="10"/>
  <c r="K22" i="10"/>
  <c r="L22" i="10"/>
  <c r="M22" i="10"/>
  <c r="B23" i="10"/>
  <c r="C23" i="10"/>
  <c r="D23" i="10"/>
  <c r="E23" i="10"/>
  <c r="F23" i="10"/>
  <c r="N23" i="10" s="1"/>
  <c r="G23" i="10"/>
  <c r="H23" i="10"/>
  <c r="I23" i="10"/>
  <c r="J23" i="10"/>
  <c r="K23" i="10"/>
  <c r="L23" i="10"/>
  <c r="M23" i="10"/>
  <c r="B24" i="10"/>
  <c r="C24" i="10"/>
  <c r="D24" i="10"/>
  <c r="E24" i="10"/>
  <c r="F24" i="10"/>
  <c r="G24" i="10"/>
  <c r="H24" i="10"/>
  <c r="I24" i="10"/>
  <c r="J24" i="10"/>
  <c r="K24" i="10"/>
  <c r="L24" i="10"/>
  <c r="M24" i="10"/>
  <c r="B25" i="10"/>
  <c r="C25" i="10"/>
  <c r="D25" i="10"/>
  <c r="E25" i="10"/>
  <c r="F25" i="10"/>
  <c r="N25" i="10" s="1"/>
  <c r="G25" i="10"/>
  <c r="H25" i="10"/>
  <c r="I25" i="10"/>
  <c r="J25" i="10"/>
  <c r="K25" i="10"/>
  <c r="L25" i="10"/>
  <c r="M25" i="10"/>
  <c r="B26" i="10"/>
  <c r="B2" i="9"/>
  <c r="C2" i="9"/>
  <c r="D2" i="9"/>
  <c r="F2" i="9" s="1"/>
  <c r="E2" i="9"/>
  <c r="B3" i="9"/>
  <c r="C3" i="9"/>
  <c r="D3" i="9"/>
  <c r="E3" i="9"/>
  <c r="B4" i="9"/>
  <c r="C4" i="9"/>
  <c r="D4" i="9"/>
  <c r="F4" i="9" s="1"/>
  <c r="E4" i="9"/>
  <c r="B5" i="9"/>
  <c r="C5" i="9"/>
  <c r="D5" i="9"/>
  <c r="E5" i="9"/>
  <c r="B6" i="9"/>
  <c r="C6" i="9"/>
  <c r="D6" i="9"/>
  <c r="E6" i="9"/>
  <c r="B7" i="9"/>
  <c r="C7" i="9"/>
  <c r="D7" i="9"/>
  <c r="F7" i="9" s="1"/>
  <c r="E7" i="9"/>
  <c r="B8" i="9"/>
  <c r="C8" i="9"/>
  <c r="D8" i="9"/>
  <c r="F8" i="9" s="1"/>
  <c r="E8" i="9"/>
  <c r="B9" i="9"/>
  <c r="C9" i="9"/>
  <c r="D9" i="9"/>
  <c r="F9" i="9" s="1"/>
  <c r="E9" i="9"/>
  <c r="B10" i="9"/>
  <c r="C10" i="9"/>
  <c r="D10" i="9"/>
  <c r="F10" i="9" s="1"/>
  <c r="E10" i="9"/>
  <c r="B11" i="9"/>
  <c r="C11" i="9"/>
  <c r="D11" i="9"/>
  <c r="F11" i="9" s="1"/>
  <c r="E11" i="9"/>
  <c r="B12" i="9"/>
  <c r="C12" i="9"/>
  <c r="D12" i="9"/>
  <c r="F12" i="9" s="1"/>
  <c r="E12" i="9"/>
  <c r="B13" i="9"/>
  <c r="C13" i="9"/>
  <c r="D13" i="9"/>
  <c r="F13" i="9" s="1"/>
  <c r="E13" i="9"/>
  <c r="C13" i="3"/>
  <c r="F26" i="10" l="1"/>
  <c r="E26" i="10"/>
  <c r="N10" i="10"/>
  <c r="H8" i="10"/>
  <c r="H13" i="10" s="1"/>
  <c r="G8" i="10"/>
  <c r="G13" i="10" s="1"/>
  <c r="F6" i="9"/>
  <c r="F12" i="10"/>
  <c r="F13" i="10" s="1"/>
  <c r="N7" i="10"/>
  <c r="N6" i="10"/>
  <c r="F8" i="10"/>
  <c r="I8" i="10"/>
  <c r="N21" i="10"/>
  <c r="I26" i="10"/>
  <c r="N18" i="10"/>
  <c r="H26" i="10"/>
  <c r="N19" i="10"/>
  <c r="M13" i="10"/>
  <c r="L26" i="10"/>
  <c r="D26" i="10"/>
  <c r="I12" i="10"/>
  <c r="N24" i="10"/>
  <c r="M26" i="10"/>
  <c r="N11" i="10"/>
  <c r="L8" i="10"/>
  <c r="L13" i="10" s="1"/>
  <c r="N22" i="10"/>
  <c r="N20" i="10"/>
  <c r="E13" i="10"/>
  <c r="F5" i="9"/>
  <c r="F3" i="9"/>
  <c r="G26" i="10"/>
  <c r="N26" i="10" s="1"/>
  <c r="K26" i="10"/>
  <c r="C26" i="10"/>
  <c r="H12" i="10"/>
  <c r="K8" i="10"/>
  <c r="K13" i="10" s="1"/>
  <c r="C8" i="10"/>
  <c r="C13" i="10" s="1"/>
  <c r="J8" i="10"/>
  <c r="J13" i="10" s="1"/>
  <c r="B8" i="10"/>
  <c r="N4" i="10"/>
  <c r="N17" i="10"/>
  <c r="D8" i="10"/>
  <c r="D13" i="10" s="1"/>
  <c r="B12" i="10"/>
  <c r="N5" i="10"/>
  <c r="E7" i="3"/>
  <c r="C7" i="5" s="1"/>
  <c r="D7" i="5" s="1"/>
  <c r="C6" i="3"/>
  <c r="B8" i="3"/>
  <c r="E3" i="3"/>
  <c r="C3" i="5" s="1"/>
  <c r="D3" i="5" s="1"/>
  <c r="C2" i="3"/>
  <c r="B7" i="3"/>
  <c r="E8" i="3"/>
  <c r="C8" i="5" s="1"/>
  <c r="D8" i="5" s="1"/>
  <c r="C10" i="3"/>
  <c r="B6" i="3"/>
  <c r="B3" i="3"/>
  <c r="E4" i="3"/>
  <c r="C4" i="5" s="1"/>
  <c r="D4" i="5" s="1"/>
  <c r="C3" i="3"/>
  <c r="C5" i="3"/>
  <c r="B4" i="3"/>
  <c r="E5" i="3"/>
  <c r="C5" i="5" s="1"/>
  <c r="D5" i="5" s="1"/>
  <c r="C7" i="3"/>
  <c r="B12" i="3"/>
  <c r="E13" i="3"/>
  <c r="C13" i="5" s="1"/>
  <c r="D13" i="5" s="1"/>
  <c r="E9" i="3"/>
  <c r="C9" i="5" s="1"/>
  <c r="D9" i="5" s="1"/>
  <c r="B2" i="3"/>
  <c r="E2" i="3"/>
  <c r="C2" i="5" s="1"/>
  <c r="D2" i="5" s="1"/>
  <c r="C4" i="3"/>
  <c r="B9" i="3"/>
  <c r="E10" i="3"/>
  <c r="C10" i="5" s="1"/>
  <c r="D10" i="5" s="1"/>
  <c r="C12" i="3"/>
  <c r="C9" i="3"/>
  <c r="B11" i="3"/>
  <c r="E12" i="3"/>
  <c r="C12" i="5" s="1"/>
  <c r="D12" i="5" s="1"/>
  <c r="C11" i="3"/>
  <c r="B5" i="3"/>
  <c r="E6" i="3"/>
  <c r="C6" i="5" s="1"/>
  <c r="D6" i="5" s="1"/>
  <c r="C8" i="3"/>
  <c r="B13" i="3"/>
  <c r="B10" i="3"/>
  <c r="E11" i="3"/>
  <c r="C11" i="5" s="1"/>
  <c r="D11" i="5" s="1"/>
  <c r="I13" i="10" l="1"/>
  <c r="N12" i="10"/>
  <c r="B13" i="10"/>
  <c r="N13" i="10" s="1"/>
  <c r="N8" i="10"/>
  <c r="F9" i="3"/>
  <c r="D9" i="3"/>
  <c r="F5" i="3"/>
  <c r="D5" i="3"/>
  <c r="D7" i="3"/>
  <c r="F7" i="3"/>
  <c r="D8" i="3"/>
  <c r="F8" i="3"/>
  <c r="D3" i="3"/>
  <c r="F3" i="3"/>
  <c r="F4" i="3"/>
  <c r="D4" i="3"/>
  <c r="D2" i="3"/>
  <c r="F2" i="3"/>
  <c r="D11" i="3"/>
  <c r="F11" i="3"/>
  <c r="F10" i="3"/>
  <c r="D10" i="3"/>
  <c r="F13" i="3"/>
  <c r="D13" i="3"/>
  <c r="F12" i="3"/>
  <c r="D12" i="3"/>
  <c r="D6" i="3"/>
  <c r="F6" i="3"/>
</calcChain>
</file>

<file path=xl/sharedStrings.xml><?xml version="1.0" encoding="utf-8"?>
<sst xmlns="http://schemas.openxmlformats.org/spreadsheetml/2006/main" count="753" uniqueCount="94">
  <si>
    <t>Date</t>
  </si>
  <si>
    <t>Description</t>
  </si>
  <si>
    <t>Category</t>
  </si>
  <si>
    <t>Account</t>
  </si>
  <si>
    <t>Amount</t>
  </si>
  <si>
    <t>Month</t>
  </si>
  <si>
    <t>Type</t>
  </si>
  <si>
    <t>Default Monthly Budget</t>
  </si>
  <si>
    <t>Income</t>
  </si>
  <si>
    <t>Housing</t>
  </si>
  <si>
    <t>Expense</t>
  </si>
  <si>
    <t>Groceries</t>
  </si>
  <si>
    <t>Dining</t>
  </si>
  <si>
    <t>Insurance</t>
  </si>
  <si>
    <t>Travel</t>
  </si>
  <si>
    <t>Savings</t>
  </si>
  <si>
    <t>Expenses</t>
  </si>
  <si>
    <t>Net</t>
  </si>
  <si>
    <t>Savings Rate</t>
  </si>
  <si>
    <t>Jan</t>
  </si>
  <si>
    <t>Feb</t>
  </si>
  <si>
    <t>Mar</t>
  </si>
  <si>
    <t>Apr</t>
  </si>
  <si>
    <t>May</t>
  </si>
  <si>
    <t>Jun</t>
  </si>
  <si>
    <t>Jul</t>
  </si>
  <si>
    <t>Aug</t>
  </si>
  <si>
    <t>Sep</t>
  </si>
  <si>
    <t>Oct</t>
  </si>
  <si>
    <t>Nov</t>
  </si>
  <si>
    <t>Dec</t>
  </si>
  <si>
    <t>Target Savings</t>
  </si>
  <si>
    <t>Actual Savings</t>
  </si>
  <si>
    <t>Variance</t>
  </si>
  <si>
    <t>Deduction Category</t>
  </si>
  <si>
    <t>Notes</t>
  </si>
  <si>
    <t>Home Office</t>
  </si>
  <si>
    <t>Business Travel</t>
  </si>
  <si>
    <t>Meals &amp; Entertainment</t>
  </si>
  <si>
    <t>Vehicle Mileage</t>
  </si>
  <si>
    <t>Supplies &amp; Equipment</t>
  </si>
  <si>
    <t>Health Insurance Premiums</t>
  </si>
  <si>
    <t>Retirement Contributions</t>
  </si>
  <si>
    <t>Education &amp; Training</t>
  </si>
  <si>
    <t>Charitable Donations</t>
  </si>
  <si>
    <t>Property Taxes</t>
  </si>
  <si>
    <t>Brand Primary Color</t>
  </si>
  <si>
    <t>#1B5E20</t>
  </si>
  <si>
    <t>Brand Secondary Color</t>
  </si>
  <si>
    <t>#FFD54F</t>
  </si>
  <si>
    <t>Instructions</t>
  </si>
  <si>
    <t>1. Enter transactions on the 'Transactions' sheet.
2. Use the dropdown in 'Category' to classify each entry (expand the list in 'Categories' if needed).
3. Monthly and Annual summaries update automatically.
4. Adjust target savings in 'Savings Tracker'.
5. Log deductible expenses in 'Tax Deductions'.
6. Dashboard &amp; Charts reflect your data automatically.
7. Future versions will add CSV import &amp; macro buttons for refresh, plus sheet protection.</t>
  </si>
  <si>
    <t>Actual Expenses</t>
  </si>
  <si>
    <t>Actual Income</t>
  </si>
  <si>
    <t>Expected Expenses</t>
  </si>
  <si>
    <t>Expected Income</t>
  </si>
  <si>
    <t>TOTAL EXPENSES</t>
  </si>
  <si>
    <t>Health</t>
  </si>
  <si>
    <t>Discretionary Spending</t>
  </si>
  <si>
    <t>Transport</t>
  </si>
  <si>
    <t>Bills</t>
  </si>
  <si>
    <t>Living Expenses</t>
  </si>
  <si>
    <t>EXPENSES</t>
  </si>
  <si>
    <t>TOTAL INCOME</t>
  </si>
  <si>
    <t>TOTAL INCOME 2</t>
  </si>
  <si>
    <t>Partner Income</t>
  </si>
  <si>
    <t>Side Hustle</t>
  </si>
  <si>
    <t>INCOME 2</t>
  </si>
  <si>
    <t>TOTAL INCOME 1</t>
  </si>
  <si>
    <t>eBay</t>
  </si>
  <si>
    <t>Share Dividends</t>
  </si>
  <si>
    <t>Interest - Bank Accounts</t>
  </si>
  <si>
    <t>Main Income Source</t>
  </si>
  <si>
    <t>INCOME 1</t>
  </si>
  <si>
    <t>TOTAL</t>
  </si>
  <si>
    <t>INCOME &amp; EXPENSES</t>
  </si>
  <si>
    <t>Checking</t>
  </si>
  <si>
    <t>Travel txn</t>
  </si>
  <si>
    <t>Living Expenses txn</t>
  </si>
  <si>
    <t>Insurance txn</t>
  </si>
  <si>
    <t>Groceries txn</t>
  </si>
  <si>
    <t>Discretionary Spending txn</t>
  </si>
  <si>
    <t>Housing txn</t>
  </si>
  <si>
    <t>Health txn</t>
  </si>
  <si>
    <t>Transport txn</t>
  </si>
  <si>
    <t>Savings txn</t>
  </si>
  <si>
    <t>Main Income Source txn</t>
  </si>
  <si>
    <t>eBay txn</t>
  </si>
  <si>
    <t>Partner Income txn</t>
  </si>
  <si>
    <t>Side Hustle txn</t>
  </si>
  <si>
    <t>Dining txn</t>
  </si>
  <si>
    <t>Bills txn</t>
  </si>
  <si>
    <t>Share Dividends txn</t>
  </si>
  <si>
    <t>Interest - Bank Accounts txn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</si>
</sst>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b/>
      <sz val="14"/>
      <color rgb="FFFFFFFF"/>
      <name val="Calibri"/>
      <family val="2"/>
    </font>
  </fonts>
  <fills count="4">
    <fill>
      <patternFill patternType="none"/>
    </fill>
    <fill>
      <patternFill patternType="gray125"/>
    </fill>
    <fill>
      <patternFill patternType="solid">
        <fgColor rgb="FF1B5E20"/>
        <bgColor rgb="FF1B5E20"/>
      </patternFill>
    </fill>
    <fill>
      <patternFill patternType="solid">
        <fgColor rgb="FFFFD54F"/>
        <bgColor rgb="FFFFD54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0" xfId="0" applyFont="1"/>
    <xf numFmtId="0" fontId="1" fillId="2" borderId="0" xfId="0" applyFont="1" applyFill="1" applyAlignment="1">
      <alignment horizontal="center"/>
    </xf>
    <xf numFmtId="14" fontId="0" fillId="0" borderId="0" xfId="0" applyNumberFormat="1"/>
    <xf numFmtId="0" fontId="3" fillId="3" borderId="0" xfId="0" applyFont="1" applyFill="1" applyAlignment="1">
      <alignment horizontal="center"/>
    </xf>
    <xf numFmtId="0" fontId="0" fillId="0" borderId="0" xfId="0"/>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Expected vs Actual Income &amp; Expenses</a:t>
            </a:r>
          </a:p>
        </c:rich>
      </c:tx>
      <c:overlay val="0"/>
    </c:title>
    <c:autoTitleDeleted val="0"/>
    <c:plotArea>
      <c:layout/>
      <c:barChart>
        <c:barDir val="col"/>
        <c:grouping val="clustered"/>
        <c:varyColors val="0"/>
        <c:ser>
          <c:idx val="0"/>
          <c:order val="0"/>
          <c:tx>
            <c:strRef>
              <c:f>'Annual Summary'!$B$1</c:f>
              <c:strCache>
                <c:ptCount val="1"/>
                <c:pt idx="0">
                  <c:v>Expected Income</c:v>
                </c:pt>
              </c:strCache>
            </c:strRef>
          </c:tx>
          <c:spPr>
            <a:ln>
              <a:prstDash val="solid"/>
            </a:ln>
          </c:spPr>
          <c:invertIfNegative val="0"/>
          <c:cat>
            <c:strRef>
              <c:f>'Annual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Summary'!$B$2:$B$13</c:f>
              <c:numCache>
                <c:formatCode>General</c:formatCode>
                <c:ptCount val="12"/>
                <c:pt idx="0">
                  <c:v>6260</c:v>
                </c:pt>
                <c:pt idx="1">
                  <c:v>6260</c:v>
                </c:pt>
                <c:pt idx="2">
                  <c:v>6260</c:v>
                </c:pt>
                <c:pt idx="3">
                  <c:v>6260</c:v>
                </c:pt>
                <c:pt idx="4">
                  <c:v>6260</c:v>
                </c:pt>
                <c:pt idx="5">
                  <c:v>6260</c:v>
                </c:pt>
                <c:pt idx="6">
                  <c:v>6260</c:v>
                </c:pt>
                <c:pt idx="7">
                  <c:v>6260</c:v>
                </c:pt>
                <c:pt idx="8">
                  <c:v>6260</c:v>
                </c:pt>
                <c:pt idx="9">
                  <c:v>6260</c:v>
                </c:pt>
                <c:pt idx="10">
                  <c:v>6260</c:v>
                </c:pt>
                <c:pt idx="11">
                  <c:v>6260</c:v>
                </c:pt>
              </c:numCache>
            </c:numRef>
          </c:val>
          <c:extLst>
            <c:ext xmlns:c16="http://schemas.microsoft.com/office/drawing/2014/chart" uri="{C3380CC4-5D6E-409C-BE32-E72D297353CC}">
              <c16:uniqueId val="{00000000-0853-C24B-8AB1-26052431C2AE}"/>
            </c:ext>
          </c:extLst>
        </c:ser>
        <c:ser>
          <c:idx val="1"/>
          <c:order val="1"/>
          <c:tx>
            <c:strRef>
              <c:f>'Annual Summary'!$C$1</c:f>
              <c:strCache>
                <c:ptCount val="1"/>
                <c:pt idx="0">
                  <c:v>Expected Expenses</c:v>
                </c:pt>
              </c:strCache>
            </c:strRef>
          </c:tx>
          <c:spPr>
            <a:ln>
              <a:prstDash val="solid"/>
            </a:ln>
          </c:spPr>
          <c:invertIfNegative val="0"/>
          <c:cat>
            <c:strRef>
              <c:f>'Annual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Summary'!$C$2:$C$13</c:f>
              <c:numCache>
                <c:formatCode>General</c:formatCode>
                <c:ptCount val="12"/>
                <c:pt idx="0">
                  <c:v>4450</c:v>
                </c:pt>
                <c:pt idx="1">
                  <c:v>4450</c:v>
                </c:pt>
                <c:pt idx="2">
                  <c:v>4450</c:v>
                </c:pt>
                <c:pt idx="3">
                  <c:v>4450</c:v>
                </c:pt>
                <c:pt idx="4">
                  <c:v>4450</c:v>
                </c:pt>
                <c:pt idx="5">
                  <c:v>4450</c:v>
                </c:pt>
                <c:pt idx="6">
                  <c:v>4450</c:v>
                </c:pt>
                <c:pt idx="7">
                  <c:v>4450</c:v>
                </c:pt>
                <c:pt idx="8">
                  <c:v>4450</c:v>
                </c:pt>
                <c:pt idx="9">
                  <c:v>4450</c:v>
                </c:pt>
                <c:pt idx="10">
                  <c:v>4450</c:v>
                </c:pt>
                <c:pt idx="11">
                  <c:v>4450</c:v>
                </c:pt>
              </c:numCache>
            </c:numRef>
          </c:val>
          <c:extLst>
            <c:ext xmlns:c16="http://schemas.microsoft.com/office/drawing/2014/chart" uri="{C3380CC4-5D6E-409C-BE32-E72D297353CC}">
              <c16:uniqueId val="{00000001-0853-C24B-8AB1-26052431C2AE}"/>
            </c:ext>
          </c:extLst>
        </c:ser>
        <c:ser>
          <c:idx val="2"/>
          <c:order val="2"/>
          <c:tx>
            <c:strRef>
              <c:f>'Annual Summary'!$D$1</c:f>
              <c:strCache>
                <c:ptCount val="1"/>
                <c:pt idx="0">
                  <c:v>Actual Income</c:v>
                </c:pt>
              </c:strCache>
            </c:strRef>
          </c:tx>
          <c:spPr>
            <a:ln>
              <a:prstDash val="solid"/>
            </a:ln>
          </c:spPr>
          <c:invertIfNegative val="0"/>
          <c:cat>
            <c:strRef>
              <c:f>'Annual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Summary'!$D$2:$D$13</c:f>
              <c:numCache>
                <c:formatCode>General</c:formatCode>
                <c:ptCount val="12"/>
                <c:pt idx="0">
                  <c:v>17002.05</c:v>
                </c:pt>
                <c:pt idx="1">
                  <c:v>22165.660000000003</c:v>
                </c:pt>
                <c:pt idx="2">
                  <c:v>31241.920000000006</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0853-C24B-8AB1-26052431C2AE}"/>
            </c:ext>
          </c:extLst>
        </c:ser>
        <c:ser>
          <c:idx val="3"/>
          <c:order val="3"/>
          <c:tx>
            <c:strRef>
              <c:f>'Annual Summary'!$E$1</c:f>
              <c:strCache>
                <c:ptCount val="1"/>
                <c:pt idx="0">
                  <c:v>Actual Expenses</c:v>
                </c:pt>
              </c:strCache>
            </c:strRef>
          </c:tx>
          <c:spPr>
            <a:ln>
              <a:prstDash val="solid"/>
            </a:ln>
          </c:spPr>
          <c:invertIfNegative val="0"/>
          <c:cat>
            <c:strRef>
              <c:f>'Annual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Summary'!$E$2:$E$13</c:f>
              <c:numCache>
                <c:formatCode>General</c:formatCode>
                <c:ptCount val="12"/>
                <c:pt idx="0">
                  <c:v>16540.740000000002</c:v>
                </c:pt>
                <c:pt idx="1">
                  <c:v>22267.739999999998</c:v>
                </c:pt>
                <c:pt idx="2">
                  <c:v>21720.23</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0853-C24B-8AB1-26052431C2A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Amount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Income vs Expenses</a:t>
            </a:r>
          </a:p>
        </c:rich>
      </c:tx>
      <c:overlay val="0"/>
    </c:title>
    <c:autoTitleDeleted val="0"/>
    <c:plotArea>
      <c:layout/>
      <c:barChart>
        <c:barDir val="col"/>
        <c:grouping val="clustered"/>
        <c:varyColors val="0"/>
        <c:ser>
          <c:idx val="0"/>
          <c:order val="0"/>
          <c:tx>
            <c:strRef>
              <c:f>'Income-Expense By Month'!$B$1</c:f>
              <c:strCache>
                <c:ptCount val="1"/>
                <c:pt idx="0">
                  <c:v>Income</c:v>
                </c:pt>
              </c:strCache>
            </c:strRef>
          </c:tx>
          <c:spPr>
            <a:ln>
              <a:prstDash val="solid"/>
            </a:ln>
          </c:spPr>
          <c:invertIfNegative val="0"/>
          <c:cat>
            <c:strRef>
              <c:f>'Income-Expense By Month'!$A$2:$A$13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'Income-Expense By Month'!$B$2:$B$13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7BD-224C-8F47-77C6867A1938}"/>
            </c:ext>
          </c:extLst>
        </c:ser>
        <c:ser>
          <c:idx val="1"/>
          <c:order val="1"/>
          <c:tx>
            <c:strRef>
              <c:f>'Income-Expense By Month'!$C$1</c:f>
              <c:strCache>
                <c:ptCount val="1"/>
                <c:pt idx="0">
                  <c:v>Expenses</c:v>
                </c:pt>
              </c:strCache>
            </c:strRef>
          </c:tx>
          <c:spPr>
            <a:ln>
              <a:prstDash val="solid"/>
            </a:ln>
          </c:spPr>
          <c:invertIfNegative val="0"/>
          <c:cat>
            <c:strRef>
              <c:f>'Income-Expense By Month'!$A$2:$A$13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'Income-Expense By Month'!$C$2:$C$13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7BD-224C-8F47-77C6867A193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Amount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8</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FDDA98D8-0FA0-F54F-BA2F-DFB76A8BA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400000" cy="270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6DCD-AE56-0D46-A561-BBC74BFD6249}">
  <dimension ref="A1:G121"/>
  <sheetViews>
    <sheetView topLeftCell="B1" workbookViewId="0">
      <pane ySplit="1" topLeftCell="A2" activePane="bottomLeft" state="frozen"/>
      <selection pane="bottomLeft" activeCell="B77" sqref="B77"/>
    </sheetView>
  </sheetViews>
  <sheetFormatPr baseColWidth="10" defaultColWidth="8.83203125" defaultRowHeight="15" x14ac:dyDescent="0.2"/>
  <cols>
    <col min="1" max="1" width="7.5" bestFit="1" customWidth="1"/>
    <col min="2" max="2" width="30" customWidth="1"/>
    <col min="3" max="3" width="26" customWidth="1"/>
    <col min="4" max="4" width="14" customWidth="1"/>
    <col min="5" max="5" width="12" customWidth="1"/>
    <col min="6" max="6" width="10" customWidth="1"/>
    <col min="7" max="7" width="12" customWidth="1"/>
  </cols>
  <sheetData>
    <row r="1" spans="1:7" x14ac:dyDescent="0.2">
      <c r="A1" s="3" t="s">
        <v>0</v>
      </c>
      <c r="B1" s="3" t="s">
        <v>1</v>
      </c>
      <c r="C1" s="3" t="s">
        <v>2</v>
      </c>
      <c r="D1" s="3" t="s">
        <v>3</v>
      </c>
      <c r="E1" s="3" t="s">
        <v>4</v>
      </c>
      <c r="F1" s="3" t="s">
        <v>5</v>
      </c>
      <c r="G1" s="3" t="s">
        <v>6</v>
      </c>
    </row>
    <row r="2" spans="1:7" x14ac:dyDescent="0.2">
      <c r="A2" s="4">
        <v>45699</v>
      </c>
      <c r="B2" t="s">
        <v>89</v>
      </c>
      <c r="C2" t="s">
        <v>66</v>
      </c>
      <c r="D2" t="s">
        <v>76</v>
      </c>
      <c r="E2">
        <v>1244.99</v>
      </c>
      <c r="F2" t="s">
        <v>20</v>
      </c>
      <c r="G2" t="s">
        <v>8</v>
      </c>
    </row>
    <row r="3" spans="1:7" x14ac:dyDescent="0.2">
      <c r="A3" s="4">
        <v>45664</v>
      </c>
      <c r="B3" t="s">
        <v>92</v>
      </c>
      <c r="C3" t="s">
        <v>70</v>
      </c>
      <c r="D3" t="s">
        <v>76</v>
      </c>
      <c r="E3">
        <v>2481.6999999999998</v>
      </c>
      <c r="F3" t="s">
        <v>19</v>
      </c>
      <c r="G3" t="s">
        <v>8</v>
      </c>
    </row>
    <row r="4" spans="1:7" x14ac:dyDescent="0.2">
      <c r="A4" s="4">
        <v>45670</v>
      </c>
      <c r="B4" t="s">
        <v>81</v>
      </c>
      <c r="C4" t="s">
        <v>58</v>
      </c>
      <c r="D4" t="s">
        <v>76</v>
      </c>
      <c r="E4">
        <v>-1169.75</v>
      </c>
      <c r="F4" t="s">
        <v>19</v>
      </c>
      <c r="G4" t="s">
        <v>10</v>
      </c>
    </row>
    <row r="5" spans="1:7" x14ac:dyDescent="0.2">
      <c r="A5" s="4">
        <v>45722</v>
      </c>
      <c r="B5" t="s">
        <v>85</v>
      </c>
      <c r="C5" t="s">
        <v>15</v>
      </c>
      <c r="D5" t="s">
        <v>76</v>
      </c>
      <c r="E5">
        <v>-84.62</v>
      </c>
      <c r="F5" t="s">
        <v>21</v>
      </c>
      <c r="G5" t="s">
        <v>15</v>
      </c>
    </row>
    <row r="6" spans="1:7" x14ac:dyDescent="0.2">
      <c r="A6" s="4">
        <v>45713</v>
      </c>
      <c r="B6" t="s">
        <v>83</v>
      </c>
      <c r="C6" t="s">
        <v>57</v>
      </c>
      <c r="D6" t="s">
        <v>76</v>
      </c>
      <c r="E6">
        <v>-149.01</v>
      </c>
      <c r="F6" t="s">
        <v>20</v>
      </c>
      <c r="G6" t="s">
        <v>10</v>
      </c>
    </row>
    <row r="7" spans="1:7" x14ac:dyDescent="0.2">
      <c r="A7" s="4">
        <v>45669</v>
      </c>
      <c r="B7" t="s">
        <v>83</v>
      </c>
      <c r="C7" t="s">
        <v>57</v>
      </c>
      <c r="D7" t="s">
        <v>76</v>
      </c>
      <c r="E7">
        <v>-127.63</v>
      </c>
      <c r="F7" t="s">
        <v>19</v>
      </c>
      <c r="G7" t="s">
        <v>10</v>
      </c>
    </row>
    <row r="8" spans="1:7" x14ac:dyDescent="0.2">
      <c r="A8" s="4">
        <v>45730</v>
      </c>
      <c r="B8" t="s">
        <v>87</v>
      </c>
      <c r="C8" t="s">
        <v>69</v>
      </c>
      <c r="D8" t="s">
        <v>76</v>
      </c>
      <c r="E8">
        <v>2847.6</v>
      </c>
      <c r="F8" t="s">
        <v>21</v>
      </c>
      <c r="G8" t="s">
        <v>8</v>
      </c>
    </row>
    <row r="9" spans="1:7" x14ac:dyDescent="0.2">
      <c r="A9" s="4">
        <v>45738</v>
      </c>
      <c r="B9" t="s">
        <v>93</v>
      </c>
      <c r="C9" t="s">
        <v>71</v>
      </c>
      <c r="D9" t="s">
        <v>76</v>
      </c>
      <c r="E9">
        <v>1773.6</v>
      </c>
      <c r="F9" t="s">
        <v>21</v>
      </c>
      <c r="G9" t="s">
        <v>8</v>
      </c>
    </row>
    <row r="10" spans="1:7" x14ac:dyDescent="0.2">
      <c r="A10" s="4">
        <v>45708</v>
      </c>
      <c r="B10" t="s">
        <v>93</v>
      </c>
      <c r="C10" t="s">
        <v>71</v>
      </c>
      <c r="D10" t="s">
        <v>76</v>
      </c>
      <c r="E10">
        <v>2931.14</v>
      </c>
      <c r="F10" t="s">
        <v>20</v>
      </c>
      <c r="G10" t="s">
        <v>8</v>
      </c>
    </row>
    <row r="11" spans="1:7" x14ac:dyDescent="0.2">
      <c r="A11" s="4">
        <v>45663</v>
      </c>
      <c r="B11" t="s">
        <v>89</v>
      </c>
      <c r="C11" t="s">
        <v>66</v>
      </c>
      <c r="D11" t="s">
        <v>76</v>
      </c>
      <c r="E11">
        <v>939.87</v>
      </c>
      <c r="F11" t="s">
        <v>19</v>
      </c>
      <c r="G11" t="s">
        <v>8</v>
      </c>
    </row>
    <row r="12" spans="1:7" x14ac:dyDescent="0.2">
      <c r="A12" s="4">
        <v>45676</v>
      </c>
      <c r="B12" t="s">
        <v>87</v>
      </c>
      <c r="C12" t="s">
        <v>69</v>
      </c>
      <c r="D12" t="s">
        <v>76</v>
      </c>
      <c r="E12">
        <v>1755.65</v>
      </c>
      <c r="F12" t="s">
        <v>19</v>
      </c>
      <c r="G12" t="s">
        <v>8</v>
      </c>
    </row>
    <row r="13" spans="1:7" x14ac:dyDescent="0.2">
      <c r="A13" s="4">
        <v>45729</v>
      </c>
      <c r="B13" t="s">
        <v>88</v>
      </c>
      <c r="C13" t="s">
        <v>65</v>
      </c>
      <c r="D13" t="s">
        <v>76</v>
      </c>
      <c r="E13">
        <v>398.86</v>
      </c>
      <c r="F13" t="s">
        <v>21</v>
      </c>
      <c r="G13" t="s">
        <v>8</v>
      </c>
    </row>
    <row r="14" spans="1:7" x14ac:dyDescent="0.2">
      <c r="A14" s="4">
        <v>45731</v>
      </c>
      <c r="B14" t="s">
        <v>85</v>
      </c>
      <c r="C14" t="s">
        <v>15</v>
      </c>
      <c r="D14" t="s">
        <v>76</v>
      </c>
      <c r="E14">
        <v>-751.07</v>
      </c>
      <c r="F14" t="s">
        <v>21</v>
      </c>
      <c r="G14" t="s">
        <v>15</v>
      </c>
    </row>
    <row r="15" spans="1:7" x14ac:dyDescent="0.2">
      <c r="A15" s="4">
        <v>45728</v>
      </c>
      <c r="B15" t="s">
        <v>92</v>
      </c>
      <c r="C15" t="s">
        <v>70</v>
      </c>
      <c r="D15" t="s">
        <v>76</v>
      </c>
      <c r="E15">
        <v>1736.67</v>
      </c>
      <c r="F15" t="s">
        <v>21</v>
      </c>
      <c r="G15" t="s">
        <v>8</v>
      </c>
    </row>
    <row r="16" spans="1:7" x14ac:dyDescent="0.2">
      <c r="A16" s="4">
        <v>45737</v>
      </c>
      <c r="B16" t="s">
        <v>85</v>
      </c>
      <c r="C16" t="s">
        <v>15</v>
      </c>
      <c r="D16" t="s">
        <v>76</v>
      </c>
      <c r="E16">
        <v>-997.86</v>
      </c>
      <c r="F16" t="s">
        <v>21</v>
      </c>
      <c r="G16" t="s">
        <v>15</v>
      </c>
    </row>
    <row r="17" spans="1:7" x14ac:dyDescent="0.2">
      <c r="A17" s="4">
        <v>45726</v>
      </c>
      <c r="B17" t="s">
        <v>83</v>
      </c>
      <c r="C17" t="s">
        <v>57</v>
      </c>
      <c r="D17" t="s">
        <v>76</v>
      </c>
      <c r="E17">
        <v>-1556.69</v>
      </c>
      <c r="F17" t="s">
        <v>21</v>
      </c>
      <c r="G17" t="s">
        <v>10</v>
      </c>
    </row>
    <row r="18" spans="1:7" x14ac:dyDescent="0.2">
      <c r="A18" s="4">
        <v>45717</v>
      </c>
      <c r="B18" t="s">
        <v>80</v>
      </c>
      <c r="C18" t="s">
        <v>11</v>
      </c>
      <c r="D18" t="s">
        <v>76</v>
      </c>
      <c r="E18">
        <v>-729.55</v>
      </c>
      <c r="F18" t="s">
        <v>21</v>
      </c>
      <c r="G18" t="s">
        <v>10</v>
      </c>
    </row>
    <row r="19" spans="1:7" x14ac:dyDescent="0.2">
      <c r="A19" s="4">
        <v>45689</v>
      </c>
      <c r="B19" t="s">
        <v>88</v>
      </c>
      <c r="C19" t="s">
        <v>65</v>
      </c>
      <c r="D19" t="s">
        <v>76</v>
      </c>
      <c r="E19">
        <v>2127.08</v>
      </c>
      <c r="F19" t="s">
        <v>20</v>
      </c>
      <c r="G19" t="s">
        <v>8</v>
      </c>
    </row>
    <row r="20" spans="1:7" x14ac:dyDescent="0.2">
      <c r="A20" s="4">
        <v>45689</v>
      </c>
      <c r="B20" t="s">
        <v>92</v>
      </c>
      <c r="C20" t="s">
        <v>70</v>
      </c>
      <c r="D20" t="s">
        <v>76</v>
      </c>
      <c r="E20">
        <v>1765.83</v>
      </c>
      <c r="F20" t="s">
        <v>20</v>
      </c>
      <c r="G20" t="s">
        <v>8</v>
      </c>
    </row>
    <row r="21" spans="1:7" x14ac:dyDescent="0.2">
      <c r="A21" s="4">
        <v>45725</v>
      </c>
      <c r="B21" t="s">
        <v>90</v>
      </c>
      <c r="C21" t="s">
        <v>12</v>
      </c>
      <c r="D21" t="s">
        <v>76</v>
      </c>
      <c r="E21">
        <v>-1751.52</v>
      </c>
      <c r="F21" t="s">
        <v>21</v>
      </c>
      <c r="G21" t="s">
        <v>10</v>
      </c>
    </row>
    <row r="22" spans="1:7" x14ac:dyDescent="0.2">
      <c r="A22" s="4">
        <v>45715</v>
      </c>
      <c r="B22" t="s">
        <v>82</v>
      </c>
      <c r="C22" t="s">
        <v>9</v>
      </c>
      <c r="D22" t="s">
        <v>76</v>
      </c>
      <c r="E22">
        <v>-1221.83</v>
      </c>
      <c r="F22" t="s">
        <v>20</v>
      </c>
      <c r="G22" t="s">
        <v>10</v>
      </c>
    </row>
    <row r="23" spans="1:7" x14ac:dyDescent="0.2">
      <c r="A23" s="4">
        <v>45667</v>
      </c>
      <c r="B23" t="s">
        <v>87</v>
      </c>
      <c r="C23" t="s">
        <v>69</v>
      </c>
      <c r="D23" t="s">
        <v>76</v>
      </c>
      <c r="E23">
        <v>1584.61</v>
      </c>
      <c r="F23" t="s">
        <v>19</v>
      </c>
      <c r="G23" t="s">
        <v>8</v>
      </c>
    </row>
    <row r="24" spans="1:7" x14ac:dyDescent="0.2">
      <c r="A24" s="4">
        <v>45679</v>
      </c>
      <c r="B24" t="s">
        <v>84</v>
      </c>
      <c r="C24" t="s">
        <v>59</v>
      </c>
      <c r="D24" t="s">
        <v>76</v>
      </c>
      <c r="E24">
        <v>-312.45</v>
      </c>
      <c r="F24" t="s">
        <v>19</v>
      </c>
      <c r="G24" t="s">
        <v>10</v>
      </c>
    </row>
    <row r="25" spans="1:7" x14ac:dyDescent="0.2">
      <c r="A25" s="4">
        <v>45720</v>
      </c>
      <c r="B25" t="s">
        <v>83</v>
      </c>
      <c r="C25" t="s">
        <v>57</v>
      </c>
      <c r="D25" t="s">
        <v>76</v>
      </c>
      <c r="E25">
        <v>-88.02</v>
      </c>
      <c r="F25" t="s">
        <v>21</v>
      </c>
      <c r="G25" t="s">
        <v>10</v>
      </c>
    </row>
    <row r="26" spans="1:7" x14ac:dyDescent="0.2">
      <c r="A26" s="4">
        <v>45743</v>
      </c>
      <c r="B26" t="s">
        <v>92</v>
      </c>
      <c r="C26" t="s">
        <v>70</v>
      </c>
      <c r="D26" t="s">
        <v>76</v>
      </c>
      <c r="E26">
        <v>2317.2600000000002</v>
      </c>
      <c r="F26" t="s">
        <v>21</v>
      </c>
      <c r="G26" t="s">
        <v>8</v>
      </c>
    </row>
    <row r="27" spans="1:7" x14ac:dyDescent="0.2">
      <c r="A27" s="4">
        <v>45731</v>
      </c>
      <c r="B27" t="s">
        <v>84</v>
      </c>
      <c r="C27" t="s">
        <v>59</v>
      </c>
      <c r="D27" t="s">
        <v>76</v>
      </c>
      <c r="E27">
        <v>-686.84</v>
      </c>
      <c r="F27" t="s">
        <v>21</v>
      </c>
      <c r="G27" t="s">
        <v>10</v>
      </c>
    </row>
    <row r="28" spans="1:7" x14ac:dyDescent="0.2">
      <c r="A28" s="4">
        <v>45702</v>
      </c>
      <c r="B28" t="s">
        <v>90</v>
      </c>
      <c r="C28" t="s">
        <v>12</v>
      </c>
      <c r="D28" t="s">
        <v>76</v>
      </c>
      <c r="E28">
        <v>-1163.99</v>
      </c>
      <c r="F28" t="s">
        <v>20</v>
      </c>
      <c r="G28" t="s">
        <v>10</v>
      </c>
    </row>
    <row r="29" spans="1:7" x14ac:dyDescent="0.2">
      <c r="A29" s="4">
        <v>45716</v>
      </c>
      <c r="B29" t="s">
        <v>92</v>
      </c>
      <c r="C29" t="s">
        <v>70</v>
      </c>
      <c r="D29" t="s">
        <v>76</v>
      </c>
      <c r="E29">
        <v>2535.91</v>
      </c>
      <c r="F29" t="s">
        <v>20</v>
      </c>
      <c r="G29" t="s">
        <v>8</v>
      </c>
    </row>
    <row r="30" spans="1:7" x14ac:dyDescent="0.2">
      <c r="A30" s="4">
        <v>45692</v>
      </c>
      <c r="B30" t="s">
        <v>90</v>
      </c>
      <c r="C30" t="s">
        <v>12</v>
      </c>
      <c r="D30" t="s">
        <v>76</v>
      </c>
      <c r="E30">
        <v>-1397.11</v>
      </c>
      <c r="F30" t="s">
        <v>20</v>
      </c>
      <c r="G30" t="s">
        <v>10</v>
      </c>
    </row>
    <row r="31" spans="1:7" x14ac:dyDescent="0.2">
      <c r="A31" s="4">
        <v>45666</v>
      </c>
      <c r="B31" t="s">
        <v>93</v>
      </c>
      <c r="C31" t="s">
        <v>71</v>
      </c>
      <c r="D31" t="s">
        <v>76</v>
      </c>
      <c r="E31">
        <v>2220.36</v>
      </c>
      <c r="F31" t="s">
        <v>19</v>
      </c>
      <c r="G31" t="s">
        <v>8</v>
      </c>
    </row>
    <row r="32" spans="1:7" x14ac:dyDescent="0.2">
      <c r="A32" s="4">
        <v>45697</v>
      </c>
      <c r="B32" t="s">
        <v>80</v>
      </c>
      <c r="C32" t="s">
        <v>11</v>
      </c>
      <c r="D32" t="s">
        <v>76</v>
      </c>
      <c r="E32">
        <v>-576.35</v>
      </c>
      <c r="F32" t="s">
        <v>20</v>
      </c>
      <c r="G32" t="s">
        <v>10</v>
      </c>
    </row>
    <row r="33" spans="1:7" x14ac:dyDescent="0.2">
      <c r="A33" s="4">
        <v>45707</v>
      </c>
      <c r="B33" t="s">
        <v>81</v>
      </c>
      <c r="C33" t="s">
        <v>58</v>
      </c>
      <c r="D33" t="s">
        <v>76</v>
      </c>
      <c r="E33">
        <v>-54.9</v>
      </c>
      <c r="F33" t="s">
        <v>20</v>
      </c>
      <c r="G33" t="s">
        <v>10</v>
      </c>
    </row>
    <row r="34" spans="1:7" x14ac:dyDescent="0.2">
      <c r="A34" s="4">
        <v>45717</v>
      </c>
      <c r="B34" t="s">
        <v>81</v>
      </c>
      <c r="C34" t="s">
        <v>58</v>
      </c>
      <c r="D34" t="s">
        <v>76</v>
      </c>
      <c r="E34">
        <v>-344.42</v>
      </c>
      <c r="F34" t="s">
        <v>21</v>
      </c>
      <c r="G34" t="s">
        <v>10</v>
      </c>
    </row>
    <row r="35" spans="1:7" x14ac:dyDescent="0.2">
      <c r="A35" s="4">
        <v>45672</v>
      </c>
      <c r="B35" t="s">
        <v>90</v>
      </c>
      <c r="C35" t="s">
        <v>12</v>
      </c>
      <c r="D35" t="s">
        <v>76</v>
      </c>
      <c r="E35">
        <v>-127.32</v>
      </c>
      <c r="F35" t="s">
        <v>19</v>
      </c>
      <c r="G35" t="s">
        <v>10</v>
      </c>
    </row>
    <row r="36" spans="1:7" x14ac:dyDescent="0.2">
      <c r="A36" s="4">
        <v>45694</v>
      </c>
      <c r="B36" t="s">
        <v>89</v>
      </c>
      <c r="C36" t="s">
        <v>66</v>
      </c>
      <c r="D36" t="s">
        <v>76</v>
      </c>
      <c r="E36">
        <v>2241.25</v>
      </c>
      <c r="F36" t="s">
        <v>20</v>
      </c>
      <c r="G36" t="s">
        <v>8</v>
      </c>
    </row>
    <row r="37" spans="1:7" x14ac:dyDescent="0.2">
      <c r="A37" s="4">
        <v>45708</v>
      </c>
      <c r="B37" t="s">
        <v>79</v>
      </c>
      <c r="C37" t="s">
        <v>13</v>
      </c>
      <c r="D37" t="s">
        <v>76</v>
      </c>
      <c r="E37">
        <v>-1834.46</v>
      </c>
      <c r="F37" t="s">
        <v>20</v>
      </c>
      <c r="G37" t="s">
        <v>10</v>
      </c>
    </row>
    <row r="38" spans="1:7" x14ac:dyDescent="0.2">
      <c r="A38" s="4">
        <v>45721</v>
      </c>
      <c r="B38" t="s">
        <v>92</v>
      </c>
      <c r="C38" t="s">
        <v>70</v>
      </c>
      <c r="D38" t="s">
        <v>76</v>
      </c>
      <c r="E38">
        <v>582.46</v>
      </c>
      <c r="F38" t="s">
        <v>21</v>
      </c>
      <c r="G38" t="s">
        <v>8</v>
      </c>
    </row>
    <row r="39" spans="1:7" x14ac:dyDescent="0.2">
      <c r="A39" s="4">
        <v>45709</v>
      </c>
      <c r="B39" t="s">
        <v>91</v>
      </c>
      <c r="C39" t="s">
        <v>60</v>
      </c>
      <c r="D39" t="s">
        <v>76</v>
      </c>
      <c r="E39">
        <v>-1767.93</v>
      </c>
      <c r="F39" t="s">
        <v>20</v>
      </c>
      <c r="G39" t="s">
        <v>10</v>
      </c>
    </row>
    <row r="40" spans="1:7" x14ac:dyDescent="0.2">
      <c r="A40" s="4">
        <v>45713</v>
      </c>
      <c r="B40" t="s">
        <v>91</v>
      </c>
      <c r="C40" t="s">
        <v>60</v>
      </c>
      <c r="D40" t="s">
        <v>76</v>
      </c>
      <c r="E40">
        <v>-1415.73</v>
      </c>
      <c r="F40" t="s">
        <v>20</v>
      </c>
      <c r="G40" t="s">
        <v>10</v>
      </c>
    </row>
    <row r="41" spans="1:7" x14ac:dyDescent="0.2">
      <c r="A41" s="4">
        <v>45703</v>
      </c>
      <c r="B41" t="s">
        <v>79</v>
      </c>
      <c r="C41" t="s">
        <v>13</v>
      </c>
      <c r="D41" t="s">
        <v>76</v>
      </c>
      <c r="E41">
        <v>-1915.89</v>
      </c>
      <c r="F41" t="s">
        <v>20</v>
      </c>
      <c r="G41" t="s">
        <v>10</v>
      </c>
    </row>
    <row r="42" spans="1:7" x14ac:dyDescent="0.2">
      <c r="A42" s="4">
        <v>45677</v>
      </c>
      <c r="B42" t="s">
        <v>92</v>
      </c>
      <c r="C42" t="s">
        <v>70</v>
      </c>
      <c r="D42" t="s">
        <v>76</v>
      </c>
      <c r="E42">
        <v>611.03</v>
      </c>
      <c r="F42" t="s">
        <v>19</v>
      </c>
      <c r="G42" t="s">
        <v>8</v>
      </c>
    </row>
    <row r="43" spans="1:7" x14ac:dyDescent="0.2">
      <c r="A43" s="4">
        <v>45687</v>
      </c>
      <c r="B43" t="s">
        <v>78</v>
      </c>
      <c r="C43" t="s">
        <v>61</v>
      </c>
      <c r="D43" t="s">
        <v>76</v>
      </c>
      <c r="E43">
        <v>-34.01</v>
      </c>
      <c r="F43" t="s">
        <v>19</v>
      </c>
      <c r="G43" t="s">
        <v>10</v>
      </c>
    </row>
    <row r="44" spans="1:7" x14ac:dyDescent="0.2">
      <c r="A44" s="4">
        <v>45733</v>
      </c>
      <c r="B44" t="s">
        <v>88</v>
      </c>
      <c r="C44" t="s">
        <v>65</v>
      </c>
      <c r="D44" t="s">
        <v>76</v>
      </c>
      <c r="E44">
        <v>861.97</v>
      </c>
      <c r="F44" t="s">
        <v>21</v>
      </c>
      <c r="G44" t="s">
        <v>8</v>
      </c>
    </row>
    <row r="45" spans="1:7" x14ac:dyDescent="0.2">
      <c r="A45" s="4">
        <v>45658</v>
      </c>
      <c r="B45" t="s">
        <v>89</v>
      </c>
      <c r="C45" t="s">
        <v>66</v>
      </c>
      <c r="D45" t="s">
        <v>76</v>
      </c>
      <c r="E45">
        <v>1314.94</v>
      </c>
      <c r="F45" t="s">
        <v>19</v>
      </c>
      <c r="G45" t="s">
        <v>8</v>
      </c>
    </row>
    <row r="46" spans="1:7" x14ac:dyDescent="0.2">
      <c r="A46" s="4">
        <v>45705</v>
      </c>
      <c r="B46" t="s">
        <v>84</v>
      </c>
      <c r="C46" t="s">
        <v>59</v>
      </c>
      <c r="D46" t="s">
        <v>76</v>
      </c>
      <c r="E46">
        <v>-1906.66</v>
      </c>
      <c r="F46" t="s">
        <v>20</v>
      </c>
      <c r="G46" t="s">
        <v>10</v>
      </c>
    </row>
    <row r="47" spans="1:7" x14ac:dyDescent="0.2">
      <c r="A47" s="4">
        <v>45746</v>
      </c>
      <c r="B47" t="s">
        <v>77</v>
      </c>
      <c r="C47" t="s">
        <v>14</v>
      </c>
      <c r="D47" t="s">
        <v>76</v>
      </c>
      <c r="E47">
        <v>-1900.95</v>
      </c>
      <c r="F47" t="s">
        <v>21</v>
      </c>
      <c r="G47" t="s">
        <v>10</v>
      </c>
    </row>
    <row r="48" spans="1:7" x14ac:dyDescent="0.2">
      <c r="A48" s="4">
        <v>45741</v>
      </c>
      <c r="B48" t="s">
        <v>93</v>
      </c>
      <c r="C48" t="s">
        <v>71</v>
      </c>
      <c r="D48" t="s">
        <v>76</v>
      </c>
      <c r="E48">
        <v>1424.27</v>
      </c>
      <c r="F48" t="s">
        <v>21</v>
      </c>
      <c r="G48" t="s">
        <v>8</v>
      </c>
    </row>
    <row r="49" spans="1:7" x14ac:dyDescent="0.2">
      <c r="A49" s="4">
        <v>45745</v>
      </c>
      <c r="B49" t="s">
        <v>79</v>
      </c>
      <c r="C49" t="s">
        <v>13</v>
      </c>
      <c r="D49" t="s">
        <v>76</v>
      </c>
      <c r="E49">
        <v>-802.16</v>
      </c>
      <c r="F49" t="s">
        <v>21</v>
      </c>
      <c r="G49" t="s">
        <v>10</v>
      </c>
    </row>
    <row r="50" spans="1:7" x14ac:dyDescent="0.2">
      <c r="A50" s="4">
        <v>45708</v>
      </c>
      <c r="B50" t="s">
        <v>87</v>
      </c>
      <c r="C50" t="s">
        <v>69</v>
      </c>
      <c r="D50" t="s">
        <v>76</v>
      </c>
      <c r="E50">
        <v>1496.42</v>
      </c>
      <c r="F50" t="s">
        <v>20</v>
      </c>
      <c r="G50" t="s">
        <v>8</v>
      </c>
    </row>
    <row r="51" spans="1:7" x14ac:dyDescent="0.2">
      <c r="A51" s="4">
        <v>45709</v>
      </c>
      <c r="B51" t="s">
        <v>93</v>
      </c>
      <c r="C51" t="s">
        <v>71</v>
      </c>
      <c r="D51" t="s">
        <v>76</v>
      </c>
      <c r="E51">
        <v>652.77</v>
      </c>
      <c r="F51" t="s">
        <v>20</v>
      </c>
      <c r="G51" t="s">
        <v>8</v>
      </c>
    </row>
    <row r="52" spans="1:7" x14ac:dyDescent="0.2">
      <c r="A52" s="4">
        <v>45684</v>
      </c>
      <c r="B52" t="s">
        <v>80</v>
      </c>
      <c r="C52" t="s">
        <v>11</v>
      </c>
      <c r="D52" t="s">
        <v>76</v>
      </c>
      <c r="E52">
        <v>-332.98</v>
      </c>
      <c r="F52" t="s">
        <v>19</v>
      </c>
      <c r="G52" t="s">
        <v>10</v>
      </c>
    </row>
    <row r="53" spans="1:7" x14ac:dyDescent="0.2">
      <c r="A53" s="4">
        <v>45701</v>
      </c>
      <c r="B53" t="s">
        <v>93</v>
      </c>
      <c r="C53" t="s">
        <v>71</v>
      </c>
      <c r="D53" t="s">
        <v>76</v>
      </c>
      <c r="E53">
        <v>396.9</v>
      </c>
      <c r="F53" t="s">
        <v>20</v>
      </c>
      <c r="G53" t="s">
        <v>8</v>
      </c>
    </row>
    <row r="54" spans="1:7" x14ac:dyDescent="0.2">
      <c r="A54" s="4">
        <v>45730</v>
      </c>
      <c r="B54" t="s">
        <v>89</v>
      </c>
      <c r="C54" t="s">
        <v>66</v>
      </c>
      <c r="D54" t="s">
        <v>76</v>
      </c>
      <c r="E54">
        <v>1656.19</v>
      </c>
      <c r="F54" t="s">
        <v>21</v>
      </c>
      <c r="G54" t="s">
        <v>8</v>
      </c>
    </row>
    <row r="55" spans="1:7" x14ac:dyDescent="0.2">
      <c r="A55" s="4">
        <v>45704</v>
      </c>
      <c r="B55" t="s">
        <v>86</v>
      </c>
      <c r="C55" t="s">
        <v>72</v>
      </c>
      <c r="D55" t="s">
        <v>76</v>
      </c>
      <c r="E55">
        <v>303.92</v>
      </c>
      <c r="F55" t="s">
        <v>20</v>
      </c>
      <c r="G55" t="s">
        <v>8</v>
      </c>
    </row>
    <row r="56" spans="1:7" x14ac:dyDescent="0.2">
      <c r="A56" s="4">
        <v>45684</v>
      </c>
      <c r="B56" t="s">
        <v>79</v>
      </c>
      <c r="C56" t="s">
        <v>13</v>
      </c>
      <c r="D56" t="s">
        <v>76</v>
      </c>
      <c r="E56">
        <v>-305.62</v>
      </c>
      <c r="F56" t="s">
        <v>19</v>
      </c>
      <c r="G56" t="s">
        <v>10</v>
      </c>
    </row>
    <row r="57" spans="1:7" x14ac:dyDescent="0.2">
      <c r="A57" s="4">
        <v>45690</v>
      </c>
      <c r="B57" t="s">
        <v>81</v>
      </c>
      <c r="C57" t="s">
        <v>58</v>
      </c>
      <c r="D57" t="s">
        <v>76</v>
      </c>
      <c r="E57">
        <v>-1208.54</v>
      </c>
      <c r="F57" t="s">
        <v>20</v>
      </c>
      <c r="G57" t="s">
        <v>10</v>
      </c>
    </row>
    <row r="58" spans="1:7" x14ac:dyDescent="0.2">
      <c r="A58" s="4">
        <v>45718</v>
      </c>
      <c r="B58" t="s">
        <v>87</v>
      </c>
      <c r="C58" t="s">
        <v>69</v>
      </c>
      <c r="D58" t="s">
        <v>76</v>
      </c>
      <c r="E58">
        <v>434.53</v>
      </c>
      <c r="F58" t="s">
        <v>21</v>
      </c>
      <c r="G58" t="s">
        <v>8</v>
      </c>
    </row>
    <row r="59" spans="1:7" x14ac:dyDescent="0.2">
      <c r="A59" s="4">
        <v>45720</v>
      </c>
      <c r="B59" t="s">
        <v>80</v>
      </c>
      <c r="C59" t="s">
        <v>11</v>
      </c>
      <c r="D59" t="s">
        <v>76</v>
      </c>
      <c r="E59">
        <v>-965.99</v>
      </c>
      <c r="F59" t="s">
        <v>21</v>
      </c>
      <c r="G59" t="s">
        <v>10</v>
      </c>
    </row>
    <row r="60" spans="1:7" x14ac:dyDescent="0.2">
      <c r="A60" s="4">
        <v>45697</v>
      </c>
      <c r="B60" t="s">
        <v>92</v>
      </c>
      <c r="C60" t="s">
        <v>70</v>
      </c>
      <c r="D60" t="s">
        <v>76</v>
      </c>
      <c r="E60">
        <v>517.94000000000005</v>
      </c>
      <c r="F60" t="s">
        <v>20</v>
      </c>
      <c r="G60" t="s">
        <v>8</v>
      </c>
    </row>
    <row r="61" spans="1:7" x14ac:dyDescent="0.2">
      <c r="A61" s="4">
        <v>45701</v>
      </c>
      <c r="B61" t="s">
        <v>91</v>
      </c>
      <c r="C61" t="s">
        <v>60</v>
      </c>
      <c r="D61" t="s">
        <v>76</v>
      </c>
      <c r="E61">
        <v>-962.46</v>
      </c>
      <c r="F61" t="s">
        <v>20</v>
      </c>
      <c r="G61" t="s">
        <v>10</v>
      </c>
    </row>
    <row r="62" spans="1:7" x14ac:dyDescent="0.2">
      <c r="A62" s="4">
        <v>45746</v>
      </c>
      <c r="B62" t="s">
        <v>88</v>
      </c>
      <c r="C62" t="s">
        <v>65</v>
      </c>
      <c r="D62" t="s">
        <v>76</v>
      </c>
      <c r="E62">
        <v>1597.37</v>
      </c>
      <c r="F62" t="s">
        <v>21</v>
      </c>
      <c r="G62" t="s">
        <v>8</v>
      </c>
    </row>
    <row r="63" spans="1:7" x14ac:dyDescent="0.2">
      <c r="A63" s="4">
        <v>45684</v>
      </c>
      <c r="B63" t="s">
        <v>77</v>
      </c>
      <c r="C63" t="s">
        <v>14</v>
      </c>
      <c r="D63" t="s">
        <v>76</v>
      </c>
      <c r="E63">
        <v>-729.89</v>
      </c>
      <c r="F63" t="s">
        <v>19</v>
      </c>
      <c r="G63" t="s">
        <v>10</v>
      </c>
    </row>
    <row r="64" spans="1:7" x14ac:dyDescent="0.2">
      <c r="A64" s="4">
        <v>45746</v>
      </c>
      <c r="B64" t="s">
        <v>86</v>
      </c>
      <c r="C64" t="s">
        <v>72</v>
      </c>
      <c r="D64" t="s">
        <v>76</v>
      </c>
      <c r="E64">
        <v>2298.61</v>
      </c>
      <c r="F64" t="s">
        <v>21</v>
      </c>
      <c r="G64" t="s">
        <v>8</v>
      </c>
    </row>
    <row r="65" spans="1:7" x14ac:dyDescent="0.2">
      <c r="A65" s="4">
        <v>45696</v>
      </c>
      <c r="B65" t="s">
        <v>92</v>
      </c>
      <c r="C65" t="s">
        <v>70</v>
      </c>
      <c r="D65" t="s">
        <v>76</v>
      </c>
      <c r="E65">
        <v>2118.9699999999998</v>
      </c>
      <c r="F65" t="s">
        <v>20</v>
      </c>
      <c r="G65" t="s">
        <v>8</v>
      </c>
    </row>
    <row r="66" spans="1:7" x14ac:dyDescent="0.2">
      <c r="A66" s="4">
        <v>45691</v>
      </c>
      <c r="B66" t="s">
        <v>77</v>
      </c>
      <c r="C66" t="s">
        <v>14</v>
      </c>
      <c r="D66" t="s">
        <v>76</v>
      </c>
      <c r="E66">
        <v>-739.73</v>
      </c>
      <c r="F66" t="s">
        <v>20</v>
      </c>
      <c r="G66" t="s">
        <v>10</v>
      </c>
    </row>
    <row r="67" spans="1:7" x14ac:dyDescent="0.2">
      <c r="A67" s="4">
        <v>45679</v>
      </c>
      <c r="B67" t="s">
        <v>81</v>
      </c>
      <c r="C67" t="s">
        <v>58</v>
      </c>
      <c r="D67" t="s">
        <v>76</v>
      </c>
      <c r="E67">
        <v>-1546.16</v>
      </c>
      <c r="F67" t="s">
        <v>19</v>
      </c>
      <c r="G67" t="s">
        <v>10</v>
      </c>
    </row>
    <row r="68" spans="1:7" x14ac:dyDescent="0.2">
      <c r="A68" s="4">
        <v>45726</v>
      </c>
      <c r="B68" t="s">
        <v>77</v>
      </c>
      <c r="C68" t="s">
        <v>14</v>
      </c>
      <c r="D68" t="s">
        <v>76</v>
      </c>
      <c r="E68">
        <v>-666.03</v>
      </c>
      <c r="F68" t="s">
        <v>21</v>
      </c>
      <c r="G68" t="s">
        <v>10</v>
      </c>
    </row>
    <row r="69" spans="1:7" x14ac:dyDescent="0.2">
      <c r="A69" s="4">
        <v>45686</v>
      </c>
      <c r="B69" t="s">
        <v>85</v>
      </c>
      <c r="C69" t="s">
        <v>15</v>
      </c>
      <c r="D69" t="s">
        <v>76</v>
      </c>
      <c r="E69">
        <v>-1614.1</v>
      </c>
      <c r="F69" t="s">
        <v>19</v>
      </c>
      <c r="G69" t="s">
        <v>15</v>
      </c>
    </row>
    <row r="70" spans="1:7" x14ac:dyDescent="0.2">
      <c r="A70" s="4">
        <v>45709</v>
      </c>
      <c r="B70" t="s">
        <v>78</v>
      </c>
      <c r="C70" t="s">
        <v>61</v>
      </c>
      <c r="D70" t="s">
        <v>76</v>
      </c>
      <c r="E70">
        <v>-407.84</v>
      </c>
      <c r="F70" t="s">
        <v>20</v>
      </c>
      <c r="G70" t="s">
        <v>10</v>
      </c>
    </row>
    <row r="71" spans="1:7" x14ac:dyDescent="0.2">
      <c r="A71" s="4">
        <v>45721</v>
      </c>
      <c r="B71" t="s">
        <v>81</v>
      </c>
      <c r="C71" t="s">
        <v>58</v>
      </c>
      <c r="D71" t="s">
        <v>76</v>
      </c>
      <c r="E71">
        <v>-1464.7</v>
      </c>
      <c r="F71" t="s">
        <v>21</v>
      </c>
      <c r="G71" t="s">
        <v>10</v>
      </c>
    </row>
    <row r="72" spans="1:7" x14ac:dyDescent="0.2">
      <c r="A72" s="4">
        <v>45661</v>
      </c>
      <c r="B72" t="s">
        <v>91</v>
      </c>
      <c r="C72" t="s">
        <v>60</v>
      </c>
      <c r="D72" t="s">
        <v>76</v>
      </c>
      <c r="E72">
        <v>-949.76</v>
      </c>
      <c r="F72" t="s">
        <v>19</v>
      </c>
      <c r="G72" t="s">
        <v>10</v>
      </c>
    </row>
    <row r="73" spans="1:7" x14ac:dyDescent="0.2">
      <c r="A73" s="4">
        <v>45682</v>
      </c>
      <c r="B73" t="s">
        <v>81</v>
      </c>
      <c r="C73" t="s">
        <v>58</v>
      </c>
      <c r="D73" t="s">
        <v>76</v>
      </c>
      <c r="E73">
        <v>-899.98</v>
      </c>
      <c r="F73" t="s">
        <v>19</v>
      </c>
      <c r="G73" t="s">
        <v>10</v>
      </c>
    </row>
    <row r="74" spans="1:7" x14ac:dyDescent="0.2">
      <c r="A74" s="4">
        <v>45702</v>
      </c>
      <c r="B74" t="s">
        <v>81</v>
      </c>
      <c r="C74" t="s">
        <v>58</v>
      </c>
      <c r="D74" t="s">
        <v>76</v>
      </c>
      <c r="E74">
        <v>-170.27</v>
      </c>
      <c r="F74" t="s">
        <v>20</v>
      </c>
      <c r="G74" t="s">
        <v>10</v>
      </c>
    </row>
    <row r="75" spans="1:7" x14ac:dyDescent="0.2">
      <c r="A75" s="4">
        <v>45671</v>
      </c>
      <c r="B75" t="s">
        <v>78</v>
      </c>
      <c r="C75" t="s">
        <v>61</v>
      </c>
      <c r="D75" t="s">
        <v>76</v>
      </c>
      <c r="E75">
        <v>-945.46</v>
      </c>
      <c r="F75" t="s">
        <v>19</v>
      </c>
      <c r="G75" t="s">
        <v>10</v>
      </c>
    </row>
    <row r="76" spans="1:7" x14ac:dyDescent="0.2">
      <c r="A76" s="4">
        <v>45701</v>
      </c>
      <c r="B76" t="s">
        <v>85</v>
      </c>
      <c r="C76" t="s">
        <v>15</v>
      </c>
      <c r="D76" t="s">
        <v>76</v>
      </c>
      <c r="E76">
        <v>-970.48</v>
      </c>
      <c r="F76" t="s">
        <v>20</v>
      </c>
      <c r="G76" t="s">
        <v>15</v>
      </c>
    </row>
    <row r="77" spans="1:7" x14ac:dyDescent="0.2">
      <c r="A77" s="4">
        <v>45736</v>
      </c>
      <c r="B77" t="s">
        <v>86</v>
      </c>
      <c r="C77" t="s">
        <v>72</v>
      </c>
      <c r="D77" t="s">
        <v>76</v>
      </c>
      <c r="E77">
        <v>1490.47</v>
      </c>
      <c r="F77" t="s">
        <v>21</v>
      </c>
      <c r="G77" t="s">
        <v>8</v>
      </c>
    </row>
    <row r="78" spans="1:7" x14ac:dyDescent="0.2">
      <c r="A78" s="4">
        <v>45741</v>
      </c>
      <c r="B78" t="s">
        <v>81</v>
      </c>
      <c r="C78" t="s">
        <v>58</v>
      </c>
      <c r="D78" t="s">
        <v>76</v>
      </c>
      <c r="E78">
        <v>-1601.29</v>
      </c>
      <c r="F78" t="s">
        <v>21</v>
      </c>
      <c r="G78" t="s">
        <v>10</v>
      </c>
    </row>
    <row r="79" spans="1:7" x14ac:dyDescent="0.2">
      <c r="A79" s="4">
        <v>45668</v>
      </c>
      <c r="B79" t="s">
        <v>87</v>
      </c>
      <c r="C79" t="s">
        <v>69</v>
      </c>
      <c r="D79" t="s">
        <v>76</v>
      </c>
      <c r="E79">
        <v>2738.35</v>
      </c>
      <c r="F79" t="s">
        <v>19</v>
      </c>
      <c r="G79" t="s">
        <v>8</v>
      </c>
    </row>
    <row r="80" spans="1:7" x14ac:dyDescent="0.2">
      <c r="A80" s="4">
        <v>45683</v>
      </c>
      <c r="B80" t="s">
        <v>90</v>
      </c>
      <c r="C80" t="s">
        <v>12</v>
      </c>
      <c r="D80" t="s">
        <v>76</v>
      </c>
      <c r="E80">
        <v>-1779.13</v>
      </c>
      <c r="F80" t="s">
        <v>19</v>
      </c>
      <c r="G80" t="s">
        <v>10</v>
      </c>
    </row>
    <row r="81" spans="1:7" x14ac:dyDescent="0.2">
      <c r="A81" s="4">
        <v>45713</v>
      </c>
      <c r="B81" t="s">
        <v>84</v>
      </c>
      <c r="C81" t="s">
        <v>59</v>
      </c>
      <c r="D81" t="s">
        <v>76</v>
      </c>
      <c r="E81">
        <v>-182.63</v>
      </c>
      <c r="F81" t="s">
        <v>20</v>
      </c>
      <c r="G81" t="s">
        <v>10</v>
      </c>
    </row>
    <row r="82" spans="1:7" x14ac:dyDescent="0.2">
      <c r="A82" s="4">
        <v>45708</v>
      </c>
      <c r="B82" t="s">
        <v>80</v>
      </c>
      <c r="C82" t="s">
        <v>11</v>
      </c>
      <c r="D82" t="s">
        <v>76</v>
      </c>
      <c r="E82">
        <v>-808.76</v>
      </c>
      <c r="F82" t="s">
        <v>20</v>
      </c>
      <c r="G82" t="s">
        <v>10</v>
      </c>
    </row>
    <row r="83" spans="1:7" x14ac:dyDescent="0.2">
      <c r="A83" s="4">
        <v>45668</v>
      </c>
      <c r="B83" t="s">
        <v>88</v>
      </c>
      <c r="C83" t="s">
        <v>65</v>
      </c>
      <c r="D83" t="s">
        <v>76</v>
      </c>
      <c r="E83">
        <v>593.01</v>
      </c>
      <c r="F83" t="s">
        <v>19</v>
      </c>
      <c r="G83" t="s">
        <v>8</v>
      </c>
    </row>
    <row r="84" spans="1:7" x14ac:dyDescent="0.2">
      <c r="A84" s="4">
        <v>45674</v>
      </c>
      <c r="B84" t="s">
        <v>86</v>
      </c>
      <c r="C84" t="s">
        <v>72</v>
      </c>
      <c r="D84" t="s">
        <v>76</v>
      </c>
      <c r="E84">
        <v>538.34</v>
      </c>
      <c r="F84" t="s">
        <v>19</v>
      </c>
      <c r="G84" t="s">
        <v>8</v>
      </c>
    </row>
    <row r="85" spans="1:7" x14ac:dyDescent="0.2">
      <c r="A85" s="4">
        <v>45717</v>
      </c>
      <c r="B85" t="s">
        <v>89</v>
      </c>
      <c r="C85" t="s">
        <v>66</v>
      </c>
      <c r="D85" t="s">
        <v>76</v>
      </c>
      <c r="E85">
        <v>1873.56</v>
      </c>
      <c r="F85" t="s">
        <v>21</v>
      </c>
      <c r="G85" t="s">
        <v>8</v>
      </c>
    </row>
    <row r="86" spans="1:7" x14ac:dyDescent="0.2">
      <c r="A86" s="4">
        <v>45734</v>
      </c>
      <c r="B86" t="s">
        <v>90</v>
      </c>
      <c r="C86" t="s">
        <v>12</v>
      </c>
      <c r="D86" t="s">
        <v>76</v>
      </c>
      <c r="E86">
        <v>-1317.96</v>
      </c>
      <c r="F86" t="s">
        <v>21</v>
      </c>
      <c r="G86" t="s">
        <v>10</v>
      </c>
    </row>
    <row r="87" spans="1:7" x14ac:dyDescent="0.2">
      <c r="A87" s="4">
        <v>45702</v>
      </c>
      <c r="B87" t="s">
        <v>89</v>
      </c>
      <c r="C87" t="s">
        <v>66</v>
      </c>
      <c r="D87" t="s">
        <v>76</v>
      </c>
      <c r="E87">
        <v>1691.11</v>
      </c>
      <c r="F87" t="s">
        <v>20</v>
      </c>
      <c r="G87" t="s">
        <v>8</v>
      </c>
    </row>
    <row r="88" spans="1:7" x14ac:dyDescent="0.2">
      <c r="A88" s="4">
        <v>45674</v>
      </c>
      <c r="B88" t="s">
        <v>86</v>
      </c>
      <c r="C88" t="s">
        <v>72</v>
      </c>
      <c r="D88" t="s">
        <v>76</v>
      </c>
      <c r="E88">
        <v>141.30000000000001</v>
      </c>
      <c r="F88" t="s">
        <v>19</v>
      </c>
      <c r="G88" t="s">
        <v>8</v>
      </c>
    </row>
    <row r="89" spans="1:7" x14ac:dyDescent="0.2">
      <c r="A89" s="4">
        <v>45741</v>
      </c>
      <c r="B89" t="s">
        <v>87</v>
      </c>
      <c r="C89" t="s">
        <v>69</v>
      </c>
      <c r="D89" t="s">
        <v>76</v>
      </c>
      <c r="E89">
        <v>1627.09</v>
      </c>
      <c r="F89" t="s">
        <v>21</v>
      </c>
      <c r="G89" t="s">
        <v>8</v>
      </c>
    </row>
    <row r="90" spans="1:7" x14ac:dyDescent="0.2">
      <c r="A90" s="4">
        <v>45675</v>
      </c>
      <c r="B90" t="s">
        <v>83</v>
      </c>
      <c r="C90" t="s">
        <v>57</v>
      </c>
      <c r="D90" t="s">
        <v>76</v>
      </c>
      <c r="E90">
        <v>-1973.23</v>
      </c>
      <c r="F90" t="s">
        <v>19</v>
      </c>
      <c r="G90" t="s">
        <v>10</v>
      </c>
    </row>
    <row r="91" spans="1:7" x14ac:dyDescent="0.2">
      <c r="A91" s="4">
        <v>45682</v>
      </c>
      <c r="B91" t="s">
        <v>85</v>
      </c>
      <c r="C91" t="s">
        <v>15</v>
      </c>
      <c r="D91" t="s">
        <v>76</v>
      </c>
      <c r="E91">
        <v>-65.709999999999994</v>
      </c>
      <c r="F91" t="s">
        <v>19</v>
      </c>
      <c r="G91" t="s">
        <v>15</v>
      </c>
    </row>
    <row r="92" spans="1:7" x14ac:dyDescent="0.2">
      <c r="A92" s="4">
        <v>45685</v>
      </c>
      <c r="B92" t="s">
        <v>82</v>
      </c>
      <c r="C92" t="s">
        <v>9</v>
      </c>
      <c r="D92" t="s">
        <v>76</v>
      </c>
      <c r="E92">
        <v>-1007.31</v>
      </c>
      <c r="F92" t="s">
        <v>19</v>
      </c>
      <c r="G92" t="s">
        <v>10</v>
      </c>
    </row>
    <row r="93" spans="1:7" x14ac:dyDescent="0.2">
      <c r="A93" s="4">
        <v>45733</v>
      </c>
      <c r="B93" t="s">
        <v>84</v>
      </c>
      <c r="C93" t="s">
        <v>59</v>
      </c>
      <c r="D93" t="s">
        <v>76</v>
      </c>
      <c r="E93">
        <v>-526.14</v>
      </c>
      <c r="F93" t="s">
        <v>21</v>
      </c>
      <c r="G93" t="s">
        <v>10</v>
      </c>
    </row>
    <row r="94" spans="1:7" x14ac:dyDescent="0.2">
      <c r="A94" s="4">
        <v>45711</v>
      </c>
      <c r="B94" t="s">
        <v>89</v>
      </c>
      <c r="C94" t="s">
        <v>66</v>
      </c>
      <c r="D94" t="s">
        <v>76</v>
      </c>
      <c r="E94">
        <v>276.62</v>
      </c>
      <c r="F94" t="s">
        <v>20</v>
      </c>
      <c r="G94" t="s">
        <v>8</v>
      </c>
    </row>
    <row r="95" spans="1:7" x14ac:dyDescent="0.2">
      <c r="A95" s="4">
        <v>45703</v>
      </c>
      <c r="B95" t="s">
        <v>80</v>
      </c>
      <c r="C95" t="s">
        <v>11</v>
      </c>
      <c r="D95" t="s">
        <v>76</v>
      </c>
      <c r="E95">
        <v>-1328.32</v>
      </c>
      <c r="F95" t="s">
        <v>20</v>
      </c>
      <c r="G95" t="s">
        <v>10</v>
      </c>
    </row>
    <row r="96" spans="1:7" x14ac:dyDescent="0.2">
      <c r="A96" s="4">
        <v>45724</v>
      </c>
      <c r="B96" t="s">
        <v>83</v>
      </c>
      <c r="C96" t="s">
        <v>57</v>
      </c>
      <c r="D96" t="s">
        <v>76</v>
      </c>
      <c r="E96">
        <v>-1656.01</v>
      </c>
      <c r="F96" t="s">
        <v>21</v>
      </c>
      <c r="G96" t="s">
        <v>10</v>
      </c>
    </row>
    <row r="97" spans="1:7" x14ac:dyDescent="0.2">
      <c r="A97" s="4">
        <v>45722</v>
      </c>
      <c r="B97" t="s">
        <v>89</v>
      </c>
      <c r="C97" t="s">
        <v>66</v>
      </c>
      <c r="D97" t="s">
        <v>76</v>
      </c>
      <c r="E97">
        <v>1642.29</v>
      </c>
      <c r="F97" t="s">
        <v>21</v>
      </c>
      <c r="G97" t="s">
        <v>8</v>
      </c>
    </row>
    <row r="98" spans="1:7" x14ac:dyDescent="0.2">
      <c r="A98" s="4">
        <v>45725</v>
      </c>
      <c r="B98" t="s">
        <v>77</v>
      </c>
      <c r="C98" t="s">
        <v>14</v>
      </c>
      <c r="D98" t="s">
        <v>76</v>
      </c>
      <c r="E98">
        <v>-47.22</v>
      </c>
      <c r="F98" t="s">
        <v>21</v>
      </c>
      <c r="G98" t="s">
        <v>10</v>
      </c>
    </row>
    <row r="99" spans="1:7" x14ac:dyDescent="0.2">
      <c r="A99" s="4">
        <v>45714</v>
      </c>
      <c r="B99" t="s">
        <v>88</v>
      </c>
      <c r="C99" t="s">
        <v>65</v>
      </c>
      <c r="D99" t="s">
        <v>76</v>
      </c>
      <c r="E99">
        <v>1864.81</v>
      </c>
      <c r="F99" t="s">
        <v>20</v>
      </c>
      <c r="G99" t="s">
        <v>8</v>
      </c>
    </row>
    <row r="100" spans="1:7" x14ac:dyDescent="0.2">
      <c r="A100" s="4">
        <v>45677</v>
      </c>
      <c r="B100" t="s">
        <v>88</v>
      </c>
      <c r="C100" t="s">
        <v>65</v>
      </c>
      <c r="D100" t="s">
        <v>76</v>
      </c>
      <c r="E100">
        <v>510.52</v>
      </c>
      <c r="F100" t="s">
        <v>19</v>
      </c>
      <c r="G100" t="s">
        <v>8</v>
      </c>
    </row>
    <row r="101" spans="1:7" x14ac:dyDescent="0.2">
      <c r="A101" s="4">
        <v>45737</v>
      </c>
      <c r="B101" t="s">
        <v>87</v>
      </c>
      <c r="C101" t="s">
        <v>69</v>
      </c>
      <c r="D101" t="s">
        <v>76</v>
      </c>
      <c r="E101">
        <v>1713.78</v>
      </c>
      <c r="F101" t="s">
        <v>21</v>
      </c>
      <c r="G101" t="s">
        <v>8</v>
      </c>
    </row>
    <row r="102" spans="1:7" x14ac:dyDescent="0.2">
      <c r="A102" s="4">
        <v>45699</v>
      </c>
      <c r="B102" t="s">
        <v>77</v>
      </c>
      <c r="C102" t="s">
        <v>14</v>
      </c>
      <c r="D102" t="s">
        <v>76</v>
      </c>
      <c r="E102">
        <v>-1066.1500000000001</v>
      </c>
      <c r="F102" t="s">
        <v>20</v>
      </c>
      <c r="G102" t="s">
        <v>10</v>
      </c>
    </row>
    <row r="103" spans="1:7" x14ac:dyDescent="0.2">
      <c r="A103" s="4">
        <v>45719</v>
      </c>
      <c r="B103" t="s">
        <v>87</v>
      </c>
      <c r="C103" t="s">
        <v>69</v>
      </c>
      <c r="D103" t="s">
        <v>76</v>
      </c>
      <c r="E103">
        <v>2661.36</v>
      </c>
      <c r="F103" t="s">
        <v>21</v>
      </c>
      <c r="G103" t="s">
        <v>8</v>
      </c>
    </row>
    <row r="104" spans="1:7" x14ac:dyDescent="0.2">
      <c r="A104" s="4">
        <v>45665</v>
      </c>
      <c r="B104" t="s">
        <v>78</v>
      </c>
      <c r="C104" t="s">
        <v>61</v>
      </c>
      <c r="D104" t="s">
        <v>76</v>
      </c>
      <c r="E104">
        <v>-390.7</v>
      </c>
      <c r="F104" t="s">
        <v>19</v>
      </c>
      <c r="G104" t="s">
        <v>10</v>
      </c>
    </row>
    <row r="105" spans="1:7" x14ac:dyDescent="0.2">
      <c r="A105" s="4">
        <v>45663</v>
      </c>
      <c r="B105" t="s">
        <v>87</v>
      </c>
      <c r="C105" t="s">
        <v>69</v>
      </c>
      <c r="D105" t="s">
        <v>76</v>
      </c>
      <c r="E105">
        <v>1572.37</v>
      </c>
      <c r="F105" t="s">
        <v>19</v>
      </c>
      <c r="G105" t="s">
        <v>8</v>
      </c>
    </row>
    <row r="106" spans="1:7" x14ac:dyDescent="0.2">
      <c r="A106" s="4">
        <v>45729</v>
      </c>
      <c r="B106" t="s">
        <v>86</v>
      </c>
      <c r="C106" t="s">
        <v>72</v>
      </c>
      <c r="D106" t="s">
        <v>76</v>
      </c>
      <c r="E106">
        <v>2303.98</v>
      </c>
      <c r="F106" t="s">
        <v>21</v>
      </c>
      <c r="G106" t="s">
        <v>8</v>
      </c>
    </row>
    <row r="107" spans="1:7" x14ac:dyDescent="0.2">
      <c r="A107" s="4">
        <v>45666</v>
      </c>
      <c r="B107" t="s">
        <v>80</v>
      </c>
      <c r="C107" t="s">
        <v>11</v>
      </c>
      <c r="D107" t="s">
        <v>76</v>
      </c>
      <c r="E107">
        <v>-657.97</v>
      </c>
      <c r="F107" t="s">
        <v>19</v>
      </c>
      <c r="G107" t="s">
        <v>10</v>
      </c>
    </row>
    <row r="108" spans="1:7" x14ac:dyDescent="0.2">
      <c r="A108" s="4">
        <v>45722</v>
      </c>
      <c r="B108" t="s">
        <v>77</v>
      </c>
      <c r="C108" t="s">
        <v>14</v>
      </c>
      <c r="D108" t="s">
        <v>76</v>
      </c>
      <c r="E108">
        <v>-406.81</v>
      </c>
      <c r="F108" t="s">
        <v>21</v>
      </c>
      <c r="G108" t="s">
        <v>10</v>
      </c>
    </row>
    <row r="109" spans="1:7" x14ac:dyDescent="0.2">
      <c r="A109" s="4">
        <v>45693</v>
      </c>
      <c r="B109" t="s">
        <v>80</v>
      </c>
      <c r="C109" t="s">
        <v>11</v>
      </c>
      <c r="D109" t="s">
        <v>76</v>
      </c>
      <c r="E109">
        <v>-1021.23</v>
      </c>
      <c r="F109" t="s">
        <v>20</v>
      </c>
      <c r="G109" t="s">
        <v>10</v>
      </c>
    </row>
    <row r="110" spans="1:7" x14ac:dyDescent="0.2">
      <c r="A110" s="4">
        <v>45719</v>
      </c>
      <c r="B110" t="s">
        <v>77</v>
      </c>
      <c r="C110" t="s">
        <v>14</v>
      </c>
      <c r="D110" t="s">
        <v>76</v>
      </c>
      <c r="E110">
        <v>-1883.59</v>
      </c>
      <c r="F110" t="s">
        <v>21</v>
      </c>
      <c r="G110" t="s">
        <v>10</v>
      </c>
    </row>
    <row r="111" spans="1:7" x14ac:dyDescent="0.2">
      <c r="A111" s="4">
        <v>45747</v>
      </c>
      <c r="B111" t="s">
        <v>77</v>
      </c>
      <c r="C111" t="s">
        <v>14</v>
      </c>
      <c r="D111" t="s">
        <v>76</v>
      </c>
      <c r="E111">
        <v>-1754.31</v>
      </c>
      <c r="F111" t="s">
        <v>21</v>
      </c>
      <c r="G111" t="s">
        <v>10</v>
      </c>
    </row>
    <row r="112" spans="1:7" x14ac:dyDescent="0.2">
      <c r="A112" s="4">
        <v>45691</v>
      </c>
      <c r="B112" t="s">
        <v>85</v>
      </c>
      <c r="C112" t="s">
        <v>15</v>
      </c>
      <c r="D112" t="s">
        <v>76</v>
      </c>
      <c r="E112">
        <v>-1681.6</v>
      </c>
      <c r="F112" t="s">
        <v>20</v>
      </c>
      <c r="G112" t="s">
        <v>15</v>
      </c>
    </row>
    <row r="113" spans="1:7" x14ac:dyDescent="0.2">
      <c r="A113" s="4">
        <v>45675</v>
      </c>
      <c r="B113" t="s">
        <v>83</v>
      </c>
      <c r="C113" t="s">
        <v>57</v>
      </c>
      <c r="D113" t="s">
        <v>76</v>
      </c>
      <c r="E113">
        <v>-252.03</v>
      </c>
      <c r="F113" t="s">
        <v>19</v>
      </c>
      <c r="G113" t="s">
        <v>10</v>
      </c>
    </row>
    <row r="114" spans="1:7" x14ac:dyDescent="0.2">
      <c r="A114" s="4">
        <v>45714</v>
      </c>
      <c r="B114" t="s">
        <v>84</v>
      </c>
      <c r="C114" t="s">
        <v>59</v>
      </c>
      <c r="D114" t="s">
        <v>76</v>
      </c>
      <c r="E114">
        <v>-154.37</v>
      </c>
      <c r="F114" t="s">
        <v>20</v>
      </c>
      <c r="G114" t="s">
        <v>10</v>
      </c>
    </row>
    <row r="115" spans="1:7" x14ac:dyDescent="0.2">
      <c r="A115" s="4">
        <v>45688</v>
      </c>
      <c r="B115" t="s">
        <v>83</v>
      </c>
      <c r="C115" t="s">
        <v>57</v>
      </c>
      <c r="D115" t="s">
        <v>76</v>
      </c>
      <c r="E115">
        <v>-155.51</v>
      </c>
      <c r="F115" t="s">
        <v>19</v>
      </c>
      <c r="G115" t="s">
        <v>10</v>
      </c>
    </row>
    <row r="116" spans="1:7" x14ac:dyDescent="0.2">
      <c r="A116" s="4">
        <v>45743</v>
      </c>
      <c r="B116" t="s">
        <v>82</v>
      </c>
      <c r="C116" t="s">
        <v>9</v>
      </c>
      <c r="D116" t="s">
        <v>76</v>
      </c>
      <c r="E116">
        <v>-1570.03</v>
      </c>
      <c r="F116" t="s">
        <v>21</v>
      </c>
      <c r="G116" t="s">
        <v>10</v>
      </c>
    </row>
    <row r="117" spans="1:7" x14ac:dyDescent="0.2">
      <c r="A117" s="4">
        <v>45677</v>
      </c>
      <c r="B117" t="s">
        <v>81</v>
      </c>
      <c r="C117" t="s">
        <v>58</v>
      </c>
      <c r="D117" t="s">
        <v>76</v>
      </c>
      <c r="E117">
        <v>-294.52999999999997</v>
      </c>
      <c r="F117" t="s">
        <v>19</v>
      </c>
      <c r="G117" t="s">
        <v>10</v>
      </c>
    </row>
    <row r="118" spans="1:7" x14ac:dyDescent="0.2">
      <c r="A118" s="4">
        <v>45675</v>
      </c>
      <c r="B118" t="s">
        <v>80</v>
      </c>
      <c r="C118" t="s">
        <v>11</v>
      </c>
      <c r="D118" t="s">
        <v>76</v>
      </c>
      <c r="E118">
        <v>-446.98</v>
      </c>
      <c r="F118" t="s">
        <v>19</v>
      </c>
      <c r="G118" t="s">
        <v>10</v>
      </c>
    </row>
    <row r="119" spans="1:7" x14ac:dyDescent="0.2">
      <c r="A119" s="4">
        <v>45670</v>
      </c>
      <c r="B119" t="s">
        <v>79</v>
      </c>
      <c r="C119" t="s">
        <v>13</v>
      </c>
      <c r="D119" t="s">
        <v>76</v>
      </c>
      <c r="E119">
        <v>-1771.02</v>
      </c>
      <c r="F119" t="s">
        <v>19</v>
      </c>
      <c r="G119" t="s">
        <v>10</v>
      </c>
    </row>
    <row r="120" spans="1:7" x14ac:dyDescent="0.2">
      <c r="A120" s="4">
        <v>45678</v>
      </c>
      <c r="B120" t="s">
        <v>78</v>
      </c>
      <c r="C120" t="s">
        <v>61</v>
      </c>
      <c r="D120" t="s">
        <v>76</v>
      </c>
      <c r="E120">
        <v>-331.32</v>
      </c>
      <c r="F120" t="s">
        <v>19</v>
      </c>
      <c r="G120" t="s">
        <v>10</v>
      </c>
    </row>
    <row r="121" spans="1:7" x14ac:dyDescent="0.2">
      <c r="A121" s="4">
        <v>45713</v>
      </c>
      <c r="B121" t="s">
        <v>77</v>
      </c>
      <c r="C121" t="s">
        <v>14</v>
      </c>
      <c r="D121" t="s">
        <v>76</v>
      </c>
      <c r="E121">
        <v>-813.58</v>
      </c>
      <c r="F121" t="s">
        <v>20</v>
      </c>
      <c r="G12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D4EB-8ADE-F344-9F22-794747704ABB}">
  <dimension ref="A1:N26"/>
  <sheetViews>
    <sheetView workbookViewId="0">
      <pane xSplit="1" ySplit="2" topLeftCell="B3" activePane="bottomRight" state="frozen"/>
      <selection pane="topRight"/>
      <selection pane="bottomLeft"/>
      <selection pane="bottomRight" activeCell="D4" sqref="D4"/>
    </sheetView>
  </sheetViews>
  <sheetFormatPr baseColWidth="10" defaultColWidth="8.83203125" defaultRowHeight="15" x14ac:dyDescent="0.2"/>
  <cols>
    <col min="1" max="1" width="28" customWidth="1"/>
    <col min="2" max="14" width="14" customWidth="1"/>
  </cols>
  <sheetData>
    <row r="1" spans="1:14" ht="19" x14ac:dyDescent="0.25">
      <c r="A1" s="5" t="s">
        <v>75</v>
      </c>
      <c r="B1" s="6"/>
      <c r="C1" s="6"/>
      <c r="D1" s="6"/>
      <c r="E1" s="6"/>
      <c r="F1" s="6"/>
      <c r="G1" s="6"/>
      <c r="H1" s="6"/>
      <c r="I1" s="6"/>
      <c r="J1" s="6"/>
      <c r="K1" s="6"/>
      <c r="L1" s="6"/>
      <c r="M1" s="6"/>
      <c r="N1" s="6"/>
    </row>
    <row r="2" spans="1:14" x14ac:dyDescent="0.2">
      <c r="A2" s="3"/>
      <c r="B2" s="3" t="s">
        <v>19</v>
      </c>
      <c r="C2" s="3" t="s">
        <v>20</v>
      </c>
      <c r="D2" s="3" t="s">
        <v>21</v>
      </c>
      <c r="E2" s="3" t="s">
        <v>22</v>
      </c>
      <c r="F2" s="3" t="s">
        <v>23</v>
      </c>
      <c r="G2" s="3" t="s">
        <v>24</v>
      </c>
      <c r="H2" s="3" t="s">
        <v>25</v>
      </c>
      <c r="I2" s="3" t="s">
        <v>26</v>
      </c>
      <c r="J2" s="3" t="s">
        <v>27</v>
      </c>
      <c r="K2" s="3" t="s">
        <v>28</v>
      </c>
      <c r="L2" s="3" t="s">
        <v>29</v>
      </c>
      <c r="M2" s="3" t="s">
        <v>30</v>
      </c>
      <c r="N2" s="3" t="s">
        <v>74</v>
      </c>
    </row>
    <row r="3" spans="1:14" x14ac:dyDescent="0.2">
      <c r="A3" s="7" t="s">
        <v>73</v>
      </c>
      <c r="B3" s="6"/>
      <c r="C3" s="6"/>
      <c r="D3" s="6"/>
      <c r="E3" s="6"/>
      <c r="F3" s="6"/>
      <c r="G3" s="6"/>
      <c r="H3" s="6"/>
      <c r="I3" s="6"/>
      <c r="J3" s="6"/>
      <c r="K3" s="6"/>
      <c r="L3" s="6"/>
      <c r="M3" s="6"/>
      <c r="N3" s="6"/>
    </row>
    <row r="4" spans="1:14" x14ac:dyDescent="0.2">
      <c r="A4" t="s">
        <v>72</v>
      </c>
      <c r="B4">
        <f>SUMIFS(Transactions!$E:$E,Transactions!$C:$C,$A4,Transactions!$F:$F,"Jan")</f>
        <v>679.6400000000001</v>
      </c>
      <c r="C4">
        <f>SUMIFS(Transactions!$E:$E,Transactions!$C:$C,$A4,Transactions!$F:$F,"Feb")</f>
        <v>303.92</v>
      </c>
      <c r="D4">
        <f>SUMIFS(Transactions!$E:$E,Transactions!$C:$C,$A4,Transactions!$F:$F,"Mar")</f>
        <v>6093.0599999999995</v>
      </c>
      <c r="E4">
        <f>SUMIFS(Transactions!$E:$E,Transactions!$C:$C,$A4,Transactions!$F:$F,"Apr")</f>
        <v>0</v>
      </c>
      <c r="F4">
        <f>SUMIFS(Transactions!$E:$E,Transactions!$C:$C,$A4,Transactions!$F:$F,"May")</f>
        <v>0</v>
      </c>
      <c r="G4">
        <f>SUMIFS(Transactions!$E:$E,Transactions!$C:$C,$A4,Transactions!$F:$F,"Jun")</f>
        <v>0</v>
      </c>
      <c r="H4">
        <f>SUMIFS(Transactions!$E:$E,Transactions!$C:$C,$A4,Transactions!$F:$F,"Jul")</f>
        <v>0</v>
      </c>
      <c r="I4">
        <f>SUMIFS(Transactions!$E:$E,Transactions!$C:$C,$A4,Transactions!$F:$F,"Aug")</f>
        <v>0</v>
      </c>
      <c r="J4">
        <f>SUMIFS(Transactions!$E:$E,Transactions!$C:$C,$A4,Transactions!$F:$F,"Sep")</f>
        <v>0</v>
      </c>
      <c r="K4">
        <f>SUMIFS(Transactions!$E:$E,Transactions!$C:$C,$A4,Transactions!$F:$F,"Oct")</f>
        <v>0</v>
      </c>
      <c r="L4">
        <f>SUMIFS(Transactions!$E:$E,Transactions!$C:$C,$A4,Transactions!$F:$F,"Nov")</f>
        <v>0</v>
      </c>
      <c r="M4">
        <f>SUMIFS(Transactions!$E:$E,Transactions!$C:$C,$A4,Transactions!$F:$F,"Dec")</f>
        <v>0</v>
      </c>
      <c r="N4">
        <f>SUM(B4:M4)</f>
        <v>7076.62</v>
      </c>
    </row>
    <row r="5" spans="1:14" x14ac:dyDescent="0.2">
      <c r="A5" t="s">
        <v>71</v>
      </c>
      <c r="B5">
        <f>SUMIFS(Transactions!$E:$E,Transactions!$C:$C,$A5,Transactions!$F:$F,"Jan")</f>
        <v>2220.36</v>
      </c>
      <c r="C5">
        <f>SUMIFS(Transactions!$E:$E,Transactions!$C:$C,$A5,Transactions!$F:$F,"Feb")</f>
        <v>3980.81</v>
      </c>
      <c r="D5">
        <f>SUMIFS(Transactions!$E:$E,Transactions!$C:$C,$A5,Transactions!$F:$F,"Mar")</f>
        <v>3197.87</v>
      </c>
      <c r="E5">
        <f>SUMIFS(Transactions!$E:$E,Transactions!$C:$C,$A5,Transactions!$F:$F,"Apr")</f>
        <v>0</v>
      </c>
      <c r="F5">
        <f>SUMIFS(Transactions!$E:$E,Transactions!$C:$C,$A5,Transactions!$F:$F,"May")</f>
        <v>0</v>
      </c>
      <c r="G5">
        <f>SUMIFS(Transactions!$E:$E,Transactions!$C:$C,$A5,Transactions!$F:$F,"Jun")</f>
        <v>0</v>
      </c>
      <c r="H5">
        <f>SUMIFS(Transactions!$E:$E,Transactions!$C:$C,$A5,Transactions!$F:$F,"Jul")</f>
        <v>0</v>
      </c>
      <c r="I5">
        <f>SUMIFS(Transactions!$E:$E,Transactions!$C:$C,$A5,Transactions!$F:$F,"Aug")</f>
        <v>0</v>
      </c>
      <c r="J5">
        <f>SUMIFS(Transactions!$E:$E,Transactions!$C:$C,$A5,Transactions!$F:$F,"Sep")</f>
        <v>0</v>
      </c>
      <c r="K5">
        <f>SUMIFS(Transactions!$E:$E,Transactions!$C:$C,$A5,Transactions!$F:$F,"Oct")</f>
        <v>0</v>
      </c>
      <c r="L5">
        <f>SUMIFS(Transactions!$E:$E,Transactions!$C:$C,$A5,Transactions!$F:$F,"Nov")</f>
        <v>0</v>
      </c>
      <c r="M5">
        <f>SUMIFS(Transactions!$E:$E,Transactions!$C:$C,$A5,Transactions!$F:$F,"Dec")</f>
        <v>0</v>
      </c>
      <c r="N5">
        <f>SUM(B5:M5)</f>
        <v>9399.0400000000009</v>
      </c>
    </row>
    <row r="6" spans="1:14" x14ac:dyDescent="0.2">
      <c r="A6" t="s">
        <v>70</v>
      </c>
      <c r="B6">
        <f>SUMIFS(Transactions!$E:$E,Transactions!$C:$C,$A6,Transactions!$F:$F,"Jan")</f>
        <v>3092.7299999999996</v>
      </c>
      <c r="C6">
        <f>SUMIFS(Transactions!$E:$E,Transactions!$C:$C,$A6,Transactions!$F:$F,"Feb")</f>
        <v>6938.65</v>
      </c>
      <c r="D6">
        <f>SUMIFS(Transactions!$E:$E,Transactions!$C:$C,$A6,Transactions!$F:$F,"Mar")</f>
        <v>4636.3900000000003</v>
      </c>
      <c r="E6">
        <f>SUMIFS(Transactions!$E:$E,Transactions!$C:$C,$A6,Transactions!$F:$F,"Apr")</f>
        <v>0</v>
      </c>
      <c r="F6">
        <f>SUMIFS(Transactions!$E:$E,Transactions!$C:$C,$A6,Transactions!$F:$F,"May")</f>
        <v>0</v>
      </c>
      <c r="G6">
        <f>SUMIFS(Transactions!$E:$E,Transactions!$C:$C,$A6,Transactions!$F:$F,"Jun")</f>
        <v>0</v>
      </c>
      <c r="H6">
        <f>SUMIFS(Transactions!$E:$E,Transactions!$C:$C,$A6,Transactions!$F:$F,"Jul")</f>
        <v>0</v>
      </c>
      <c r="I6">
        <f>SUMIFS(Transactions!$E:$E,Transactions!$C:$C,$A6,Transactions!$F:$F,"Aug")</f>
        <v>0</v>
      </c>
      <c r="J6">
        <f>SUMIFS(Transactions!$E:$E,Transactions!$C:$C,$A6,Transactions!$F:$F,"Sep")</f>
        <v>0</v>
      </c>
      <c r="K6">
        <f>SUMIFS(Transactions!$E:$E,Transactions!$C:$C,$A6,Transactions!$F:$F,"Oct")</f>
        <v>0</v>
      </c>
      <c r="L6">
        <f>SUMIFS(Transactions!$E:$E,Transactions!$C:$C,$A6,Transactions!$F:$F,"Nov")</f>
        <v>0</v>
      </c>
      <c r="M6">
        <f>SUMIFS(Transactions!$E:$E,Transactions!$C:$C,$A6,Transactions!$F:$F,"Dec")</f>
        <v>0</v>
      </c>
      <c r="N6">
        <f>SUM(B6:M6)</f>
        <v>14667.77</v>
      </c>
    </row>
    <row r="7" spans="1:14" x14ac:dyDescent="0.2">
      <c r="A7" t="s">
        <v>69</v>
      </c>
      <c r="B7">
        <f>SUMIFS(Transactions!$E:$E,Transactions!$C:$C,$A7,Transactions!$F:$F,"Jan")</f>
        <v>7650.9800000000005</v>
      </c>
      <c r="C7">
        <f>SUMIFS(Transactions!$E:$E,Transactions!$C:$C,$A7,Transactions!$F:$F,"Feb")</f>
        <v>1496.42</v>
      </c>
      <c r="D7">
        <f>SUMIFS(Transactions!$E:$E,Transactions!$C:$C,$A7,Transactions!$F:$F,"Mar")</f>
        <v>9284.36</v>
      </c>
      <c r="E7">
        <f>SUMIFS(Transactions!$E:$E,Transactions!$C:$C,$A7,Transactions!$F:$F,"Apr")</f>
        <v>0</v>
      </c>
      <c r="F7">
        <f>SUMIFS(Transactions!$E:$E,Transactions!$C:$C,$A7,Transactions!$F:$F,"May")</f>
        <v>0</v>
      </c>
      <c r="G7">
        <f>SUMIFS(Transactions!$E:$E,Transactions!$C:$C,$A7,Transactions!$F:$F,"Jun")</f>
        <v>0</v>
      </c>
      <c r="H7">
        <f>SUMIFS(Transactions!$E:$E,Transactions!$C:$C,$A7,Transactions!$F:$F,"Jul")</f>
        <v>0</v>
      </c>
      <c r="I7">
        <f>SUMIFS(Transactions!$E:$E,Transactions!$C:$C,$A7,Transactions!$F:$F,"Aug")</f>
        <v>0</v>
      </c>
      <c r="J7">
        <f>SUMIFS(Transactions!$E:$E,Transactions!$C:$C,$A7,Transactions!$F:$F,"Sep")</f>
        <v>0</v>
      </c>
      <c r="K7">
        <f>SUMIFS(Transactions!$E:$E,Transactions!$C:$C,$A7,Transactions!$F:$F,"Oct")</f>
        <v>0</v>
      </c>
      <c r="L7">
        <f>SUMIFS(Transactions!$E:$E,Transactions!$C:$C,$A7,Transactions!$F:$F,"Nov")</f>
        <v>0</v>
      </c>
      <c r="M7">
        <f>SUMIFS(Transactions!$E:$E,Transactions!$C:$C,$A7,Transactions!$F:$F,"Dec")</f>
        <v>0</v>
      </c>
      <c r="N7">
        <f>SUM(B7:M7)</f>
        <v>18431.760000000002</v>
      </c>
    </row>
    <row r="8" spans="1:14" x14ac:dyDescent="0.2">
      <c r="A8" t="s">
        <v>68</v>
      </c>
      <c r="B8">
        <f t="shared" ref="B8:M8" si="0">SUM(B4:B7)</f>
        <v>13643.71</v>
      </c>
      <c r="C8">
        <f t="shared" si="0"/>
        <v>12719.8</v>
      </c>
      <c r="D8">
        <f t="shared" si="0"/>
        <v>23211.68</v>
      </c>
      <c r="E8">
        <f t="shared" si="0"/>
        <v>0</v>
      </c>
      <c r="F8">
        <f t="shared" si="0"/>
        <v>0</v>
      </c>
      <c r="G8">
        <f t="shared" si="0"/>
        <v>0</v>
      </c>
      <c r="H8">
        <f t="shared" si="0"/>
        <v>0</v>
      </c>
      <c r="I8">
        <f t="shared" si="0"/>
        <v>0</v>
      </c>
      <c r="J8">
        <f t="shared" si="0"/>
        <v>0</v>
      </c>
      <c r="K8">
        <f t="shared" si="0"/>
        <v>0</v>
      </c>
      <c r="L8">
        <f t="shared" si="0"/>
        <v>0</v>
      </c>
      <c r="M8">
        <f t="shared" si="0"/>
        <v>0</v>
      </c>
      <c r="N8">
        <f>SUM(B8:M8)</f>
        <v>49575.19</v>
      </c>
    </row>
    <row r="9" spans="1:14" x14ac:dyDescent="0.2">
      <c r="A9" s="7" t="s">
        <v>67</v>
      </c>
      <c r="B9" s="6"/>
      <c r="C9" s="6"/>
      <c r="D9" s="6"/>
      <c r="E9" s="6"/>
      <c r="F9" s="6"/>
      <c r="G9" s="6"/>
      <c r="H9" s="6"/>
      <c r="I9" s="6"/>
      <c r="J9" s="6"/>
      <c r="K9" s="6"/>
      <c r="L9" s="6"/>
      <c r="M9" s="6"/>
      <c r="N9" s="6"/>
    </row>
    <row r="10" spans="1:14" x14ac:dyDescent="0.2">
      <c r="A10" t="s">
        <v>66</v>
      </c>
      <c r="B10">
        <f>SUMIFS(Transactions!$E:$E,Transactions!$C:$C,$A10,Transactions!$F:$F,"Jan")</f>
        <v>2254.81</v>
      </c>
      <c r="C10">
        <f>SUMIFS(Transactions!$E:$E,Transactions!$C:$C,$A10,Transactions!$F:$F,"Feb")</f>
        <v>5453.9699999999993</v>
      </c>
      <c r="D10">
        <f>SUMIFS(Transactions!$E:$E,Transactions!$C:$C,$A10,Transactions!$F:$F,"Mar")</f>
        <v>5172.04</v>
      </c>
      <c r="E10">
        <f>SUMIFS(Transactions!$E:$E,Transactions!$C:$C,$A10,Transactions!$F:$F,"Apr")</f>
        <v>0</v>
      </c>
      <c r="F10">
        <f>SUMIFS(Transactions!$E:$E,Transactions!$C:$C,$A10,Transactions!$F:$F,"May")</f>
        <v>0</v>
      </c>
      <c r="G10">
        <f>SUMIFS(Transactions!$E:$E,Transactions!$C:$C,$A10,Transactions!$F:$F,"Jun")</f>
        <v>0</v>
      </c>
      <c r="H10">
        <f>SUMIFS(Transactions!$E:$E,Transactions!$C:$C,$A10,Transactions!$F:$F,"Jul")</f>
        <v>0</v>
      </c>
      <c r="I10">
        <f>SUMIFS(Transactions!$E:$E,Transactions!$C:$C,$A10,Transactions!$F:$F,"Aug")</f>
        <v>0</v>
      </c>
      <c r="J10">
        <f>SUMIFS(Transactions!$E:$E,Transactions!$C:$C,$A10,Transactions!$F:$F,"Sep")</f>
        <v>0</v>
      </c>
      <c r="K10">
        <f>SUMIFS(Transactions!$E:$E,Transactions!$C:$C,$A10,Transactions!$F:$F,"Oct")</f>
        <v>0</v>
      </c>
      <c r="L10">
        <f>SUMIFS(Transactions!$E:$E,Transactions!$C:$C,$A10,Transactions!$F:$F,"Nov")</f>
        <v>0</v>
      </c>
      <c r="M10">
        <f>SUMIFS(Transactions!$E:$E,Transactions!$C:$C,$A10,Transactions!$F:$F,"Dec")</f>
        <v>0</v>
      </c>
      <c r="N10">
        <f>SUM(B10:M10)</f>
        <v>12880.82</v>
      </c>
    </row>
    <row r="11" spans="1:14" x14ac:dyDescent="0.2">
      <c r="A11" t="s">
        <v>65</v>
      </c>
      <c r="B11">
        <f>SUMIFS(Transactions!$E:$E,Transactions!$C:$C,$A11,Transactions!$F:$F,"Jan")</f>
        <v>1103.53</v>
      </c>
      <c r="C11">
        <f>SUMIFS(Transactions!$E:$E,Transactions!$C:$C,$A11,Transactions!$F:$F,"Feb")</f>
        <v>3991.89</v>
      </c>
      <c r="D11">
        <f>SUMIFS(Transactions!$E:$E,Transactions!$C:$C,$A11,Transactions!$F:$F,"Mar")</f>
        <v>2858.2</v>
      </c>
      <c r="E11">
        <f>SUMIFS(Transactions!$E:$E,Transactions!$C:$C,$A11,Transactions!$F:$F,"Apr")</f>
        <v>0</v>
      </c>
      <c r="F11">
        <f>SUMIFS(Transactions!$E:$E,Transactions!$C:$C,$A11,Transactions!$F:$F,"May")</f>
        <v>0</v>
      </c>
      <c r="G11">
        <f>SUMIFS(Transactions!$E:$E,Transactions!$C:$C,$A11,Transactions!$F:$F,"Jun")</f>
        <v>0</v>
      </c>
      <c r="H11">
        <f>SUMIFS(Transactions!$E:$E,Transactions!$C:$C,$A11,Transactions!$F:$F,"Jul")</f>
        <v>0</v>
      </c>
      <c r="I11">
        <f>SUMIFS(Transactions!$E:$E,Transactions!$C:$C,$A11,Transactions!$F:$F,"Aug")</f>
        <v>0</v>
      </c>
      <c r="J11">
        <f>SUMIFS(Transactions!$E:$E,Transactions!$C:$C,$A11,Transactions!$F:$F,"Sep")</f>
        <v>0</v>
      </c>
      <c r="K11">
        <f>SUMIFS(Transactions!$E:$E,Transactions!$C:$C,$A11,Transactions!$F:$F,"Oct")</f>
        <v>0</v>
      </c>
      <c r="L11">
        <f>SUMIFS(Transactions!$E:$E,Transactions!$C:$C,$A11,Transactions!$F:$F,"Nov")</f>
        <v>0</v>
      </c>
      <c r="M11">
        <f>SUMIFS(Transactions!$E:$E,Transactions!$C:$C,$A11,Transactions!$F:$F,"Dec")</f>
        <v>0</v>
      </c>
      <c r="N11">
        <f>SUM(B11:M11)</f>
        <v>7953.62</v>
      </c>
    </row>
    <row r="12" spans="1:14" x14ac:dyDescent="0.2">
      <c r="A12" t="s">
        <v>64</v>
      </c>
      <c r="B12">
        <f t="shared" ref="B12:M12" si="1">SUM(B10:B11)</f>
        <v>3358.34</v>
      </c>
      <c r="C12">
        <f t="shared" si="1"/>
        <v>9445.8599999999988</v>
      </c>
      <c r="D12">
        <f t="shared" si="1"/>
        <v>8030.24</v>
      </c>
      <c r="E12">
        <f t="shared" si="1"/>
        <v>0</v>
      </c>
      <c r="F12">
        <f t="shared" si="1"/>
        <v>0</v>
      </c>
      <c r="G12">
        <f t="shared" si="1"/>
        <v>0</v>
      </c>
      <c r="H12">
        <f t="shared" si="1"/>
        <v>0</v>
      </c>
      <c r="I12">
        <f t="shared" si="1"/>
        <v>0</v>
      </c>
      <c r="J12">
        <f t="shared" si="1"/>
        <v>0</v>
      </c>
      <c r="K12">
        <f t="shared" si="1"/>
        <v>0</v>
      </c>
      <c r="L12">
        <f t="shared" si="1"/>
        <v>0</v>
      </c>
      <c r="M12">
        <f t="shared" si="1"/>
        <v>0</v>
      </c>
      <c r="N12">
        <f>SUM(B12:M12)</f>
        <v>20834.439999999999</v>
      </c>
    </row>
    <row r="13" spans="1:14" x14ac:dyDescent="0.2">
      <c r="A13" t="s">
        <v>63</v>
      </c>
      <c r="B13">
        <f t="shared" ref="B13:M13" si="2">SUM(B3:B12)</f>
        <v>34004.1</v>
      </c>
      <c r="C13">
        <f t="shared" si="2"/>
        <v>44331.32</v>
      </c>
      <c r="D13">
        <f t="shared" si="2"/>
        <v>62483.839999999997</v>
      </c>
      <c r="E13">
        <f t="shared" si="2"/>
        <v>0</v>
      </c>
      <c r="F13">
        <f t="shared" si="2"/>
        <v>0</v>
      </c>
      <c r="G13">
        <f t="shared" si="2"/>
        <v>0</v>
      </c>
      <c r="H13">
        <f t="shared" si="2"/>
        <v>0</v>
      </c>
      <c r="I13">
        <f t="shared" si="2"/>
        <v>0</v>
      </c>
      <c r="J13">
        <f t="shared" si="2"/>
        <v>0</v>
      </c>
      <c r="K13">
        <f t="shared" si="2"/>
        <v>0</v>
      </c>
      <c r="L13">
        <f t="shared" si="2"/>
        <v>0</v>
      </c>
      <c r="M13">
        <f t="shared" si="2"/>
        <v>0</v>
      </c>
      <c r="N13">
        <f>SUM(B13:M13)</f>
        <v>140819.26</v>
      </c>
    </row>
    <row r="15" spans="1:14" x14ac:dyDescent="0.2">
      <c r="A15" s="7" t="s">
        <v>62</v>
      </c>
      <c r="B15" s="6"/>
      <c r="C15" s="6"/>
      <c r="D15" s="6"/>
      <c r="E15" s="6"/>
      <c r="F15" s="6"/>
      <c r="G15" s="6"/>
      <c r="H15" s="6"/>
      <c r="I15" s="6"/>
      <c r="J15" s="6"/>
      <c r="K15" s="6"/>
      <c r="L15" s="6"/>
      <c r="M15" s="6"/>
      <c r="N15" s="6"/>
    </row>
    <row r="16" spans="1:14" x14ac:dyDescent="0.2">
      <c r="A16" t="s">
        <v>61</v>
      </c>
      <c r="B16">
        <f>SUMIFS(Transactions!$E:$E,Transactions!$C:$C,$A16,Transactions!$F:$F,"Jan")</f>
        <v>-1701.49</v>
      </c>
      <c r="C16">
        <f>SUMIFS(Transactions!$E:$E,Transactions!$C:$C,$A16,Transactions!$F:$F,"Feb")</f>
        <v>-407.84</v>
      </c>
      <c r="D16">
        <f>SUMIFS(Transactions!$E:$E,Transactions!$C:$C,$A16,Transactions!$F:$F,"Mar")</f>
        <v>0</v>
      </c>
      <c r="E16">
        <f>SUMIFS(Transactions!$E:$E,Transactions!$C:$C,$A16,Transactions!$F:$F,"Apr")</f>
        <v>0</v>
      </c>
      <c r="F16">
        <f>SUMIFS(Transactions!$E:$E,Transactions!$C:$C,$A16,Transactions!$F:$F,"May")</f>
        <v>0</v>
      </c>
      <c r="G16">
        <f>SUMIFS(Transactions!$E:$E,Transactions!$C:$C,$A16,Transactions!$F:$F,"Jun")</f>
        <v>0</v>
      </c>
      <c r="H16">
        <f>SUMIFS(Transactions!$E:$E,Transactions!$C:$C,$A16,Transactions!$F:$F,"Jul")</f>
        <v>0</v>
      </c>
      <c r="I16">
        <f>SUMIFS(Transactions!$E:$E,Transactions!$C:$C,$A16,Transactions!$F:$F,"Aug")</f>
        <v>0</v>
      </c>
      <c r="J16">
        <f>SUMIFS(Transactions!$E:$E,Transactions!$C:$C,$A16,Transactions!$F:$F,"Sep")</f>
        <v>0</v>
      </c>
      <c r="K16">
        <f>SUMIFS(Transactions!$E:$E,Transactions!$C:$C,$A16,Transactions!$F:$F,"Oct")</f>
        <v>0</v>
      </c>
      <c r="L16">
        <f>SUMIFS(Transactions!$E:$E,Transactions!$C:$C,$A16,Transactions!$F:$F,"Nov")</f>
        <v>0</v>
      </c>
      <c r="M16">
        <f>SUMIFS(Transactions!$E:$E,Transactions!$C:$C,$A16,Transactions!$F:$F,"Dec")</f>
        <v>0</v>
      </c>
      <c r="N16">
        <f t="shared" ref="N16:N26" si="3">SUM(B16:M16)</f>
        <v>-2109.33</v>
      </c>
    </row>
    <row r="17" spans="1:14" x14ac:dyDescent="0.2">
      <c r="A17" t="s">
        <v>60</v>
      </c>
      <c r="B17">
        <f>SUMIFS(Transactions!$E:$E,Transactions!$C:$C,$A17,Transactions!$F:$F,"Jan")</f>
        <v>-949.76</v>
      </c>
      <c r="C17">
        <f>SUMIFS(Transactions!$E:$E,Transactions!$C:$C,$A17,Transactions!$F:$F,"Feb")</f>
        <v>-4146.12</v>
      </c>
      <c r="D17">
        <f>SUMIFS(Transactions!$E:$E,Transactions!$C:$C,$A17,Transactions!$F:$F,"Mar")</f>
        <v>0</v>
      </c>
      <c r="E17">
        <f>SUMIFS(Transactions!$E:$E,Transactions!$C:$C,$A17,Transactions!$F:$F,"Apr")</f>
        <v>0</v>
      </c>
      <c r="F17">
        <f>SUMIFS(Transactions!$E:$E,Transactions!$C:$C,$A17,Transactions!$F:$F,"May")</f>
        <v>0</v>
      </c>
      <c r="G17">
        <f>SUMIFS(Transactions!$E:$E,Transactions!$C:$C,$A17,Transactions!$F:$F,"Jun")</f>
        <v>0</v>
      </c>
      <c r="H17">
        <f>SUMIFS(Transactions!$E:$E,Transactions!$C:$C,$A17,Transactions!$F:$F,"Jul")</f>
        <v>0</v>
      </c>
      <c r="I17">
        <f>SUMIFS(Transactions!$E:$E,Transactions!$C:$C,$A17,Transactions!$F:$F,"Aug")</f>
        <v>0</v>
      </c>
      <c r="J17">
        <f>SUMIFS(Transactions!$E:$E,Transactions!$C:$C,$A17,Transactions!$F:$F,"Sep")</f>
        <v>0</v>
      </c>
      <c r="K17">
        <f>SUMIFS(Transactions!$E:$E,Transactions!$C:$C,$A17,Transactions!$F:$F,"Oct")</f>
        <v>0</v>
      </c>
      <c r="L17">
        <f>SUMIFS(Transactions!$E:$E,Transactions!$C:$C,$A17,Transactions!$F:$F,"Nov")</f>
        <v>0</v>
      </c>
      <c r="M17">
        <f>SUMIFS(Transactions!$E:$E,Transactions!$C:$C,$A17,Transactions!$F:$F,"Dec")</f>
        <v>0</v>
      </c>
      <c r="N17">
        <f t="shared" si="3"/>
        <v>-5095.88</v>
      </c>
    </row>
    <row r="18" spans="1:14" x14ac:dyDescent="0.2">
      <c r="A18" t="s">
        <v>9</v>
      </c>
      <c r="B18">
        <f>SUMIFS(Transactions!$E:$E,Transactions!$C:$C,$A18,Transactions!$F:$F,"Jan")</f>
        <v>-1007.31</v>
      </c>
      <c r="C18">
        <f>SUMIFS(Transactions!$E:$E,Transactions!$C:$C,$A18,Transactions!$F:$F,"Feb")</f>
        <v>-1221.83</v>
      </c>
      <c r="D18">
        <f>SUMIFS(Transactions!$E:$E,Transactions!$C:$C,$A18,Transactions!$F:$F,"Mar")</f>
        <v>-1570.03</v>
      </c>
      <c r="E18">
        <f>SUMIFS(Transactions!$E:$E,Transactions!$C:$C,$A18,Transactions!$F:$F,"Apr")</f>
        <v>0</v>
      </c>
      <c r="F18">
        <f>SUMIFS(Transactions!$E:$E,Transactions!$C:$C,$A18,Transactions!$F:$F,"May")</f>
        <v>0</v>
      </c>
      <c r="G18">
        <f>SUMIFS(Transactions!$E:$E,Transactions!$C:$C,$A18,Transactions!$F:$F,"Jun")</f>
        <v>0</v>
      </c>
      <c r="H18">
        <f>SUMIFS(Transactions!$E:$E,Transactions!$C:$C,$A18,Transactions!$F:$F,"Jul")</f>
        <v>0</v>
      </c>
      <c r="I18">
        <f>SUMIFS(Transactions!$E:$E,Transactions!$C:$C,$A18,Transactions!$F:$F,"Aug")</f>
        <v>0</v>
      </c>
      <c r="J18">
        <f>SUMIFS(Transactions!$E:$E,Transactions!$C:$C,$A18,Transactions!$F:$F,"Sep")</f>
        <v>0</v>
      </c>
      <c r="K18">
        <f>SUMIFS(Transactions!$E:$E,Transactions!$C:$C,$A18,Transactions!$F:$F,"Oct")</f>
        <v>0</v>
      </c>
      <c r="L18">
        <f>SUMIFS(Transactions!$E:$E,Transactions!$C:$C,$A18,Transactions!$F:$F,"Nov")</f>
        <v>0</v>
      </c>
      <c r="M18">
        <f>SUMIFS(Transactions!$E:$E,Transactions!$C:$C,$A18,Transactions!$F:$F,"Dec")</f>
        <v>0</v>
      </c>
      <c r="N18">
        <f t="shared" si="3"/>
        <v>-3799.17</v>
      </c>
    </row>
    <row r="19" spans="1:14" x14ac:dyDescent="0.2">
      <c r="A19" t="s">
        <v>59</v>
      </c>
      <c r="B19">
        <f>SUMIFS(Transactions!$E:$E,Transactions!$C:$C,$A19,Transactions!$F:$F,"Jan")</f>
        <v>-312.45</v>
      </c>
      <c r="C19">
        <f>SUMIFS(Transactions!$E:$E,Transactions!$C:$C,$A19,Transactions!$F:$F,"Feb")</f>
        <v>-2243.66</v>
      </c>
      <c r="D19">
        <f>SUMIFS(Transactions!$E:$E,Transactions!$C:$C,$A19,Transactions!$F:$F,"Mar")</f>
        <v>-1212.98</v>
      </c>
      <c r="E19">
        <f>SUMIFS(Transactions!$E:$E,Transactions!$C:$C,$A19,Transactions!$F:$F,"Apr")</f>
        <v>0</v>
      </c>
      <c r="F19">
        <f>SUMIFS(Transactions!$E:$E,Transactions!$C:$C,$A19,Transactions!$F:$F,"May")</f>
        <v>0</v>
      </c>
      <c r="G19">
        <f>SUMIFS(Transactions!$E:$E,Transactions!$C:$C,$A19,Transactions!$F:$F,"Jun")</f>
        <v>0</v>
      </c>
      <c r="H19">
        <f>SUMIFS(Transactions!$E:$E,Transactions!$C:$C,$A19,Transactions!$F:$F,"Jul")</f>
        <v>0</v>
      </c>
      <c r="I19">
        <f>SUMIFS(Transactions!$E:$E,Transactions!$C:$C,$A19,Transactions!$F:$F,"Aug")</f>
        <v>0</v>
      </c>
      <c r="J19">
        <f>SUMIFS(Transactions!$E:$E,Transactions!$C:$C,$A19,Transactions!$F:$F,"Sep")</f>
        <v>0</v>
      </c>
      <c r="K19">
        <f>SUMIFS(Transactions!$E:$E,Transactions!$C:$C,$A19,Transactions!$F:$F,"Oct")</f>
        <v>0</v>
      </c>
      <c r="L19">
        <f>SUMIFS(Transactions!$E:$E,Transactions!$C:$C,$A19,Transactions!$F:$F,"Nov")</f>
        <v>0</v>
      </c>
      <c r="M19">
        <f>SUMIFS(Transactions!$E:$E,Transactions!$C:$C,$A19,Transactions!$F:$F,"Dec")</f>
        <v>0</v>
      </c>
      <c r="N19">
        <f t="shared" si="3"/>
        <v>-3769.0899999999997</v>
      </c>
    </row>
    <row r="20" spans="1:14" x14ac:dyDescent="0.2">
      <c r="A20" t="s">
        <v>58</v>
      </c>
      <c r="B20">
        <f>SUMIFS(Transactions!$E:$E,Transactions!$C:$C,$A20,Transactions!$F:$F,"Jan")</f>
        <v>-3910.42</v>
      </c>
      <c r="C20">
        <f>SUMIFS(Transactions!$E:$E,Transactions!$C:$C,$A20,Transactions!$F:$F,"Feb")</f>
        <v>-1433.71</v>
      </c>
      <c r="D20">
        <f>SUMIFS(Transactions!$E:$E,Transactions!$C:$C,$A20,Transactions!$F:$F,"Mar")</f>
        <v>-3410.41</v>
      </c>
      <c r="E20">
        <f>SUMIFS(Transactions!$E:$E,Transactions!$C:$C,$A20,Transactions!$F:$F,"Apr")</f>
        <v>0</v>
      </c>
      <c r="F20">
        <f>SUMIFS(Transactions!$E:$E,Transactions!$C:$C,$A20,Transactions!$F:$F,"May")</f>
        <v>0</v>
      </c>
      <c r="G20">
        <f>SUMIFS(Transactions!$E:$E,Transactions!$C:$C,$A20,Transactions!$F:$F,"Jun")</f>
        <v>0</v>
      </c>
      <c r="H20">
        <f>SUMIFS(Transactions!$E:$E,Transactions!$C:$C,$A20,Transactions!$F:$F,"Jul")</f>
        <v>0</v>
      </c>
      <c r="I20">
        <f>SUMIFS(Transactions!$E:$E,Transactions!$C:$C,$A20,Transactions!$F:$F,"Aug")</f>
        <v>0</v>
      </c>
      <c r="J20">
        <f>SUMIFS(Transactions!$E:$E,Transactions!$C:$C,$A20,Transactions!$F:$F,"Sep")</f>
        <v>0</v>
      </c>
      <c r="K20">
        <f>SUMIFS(Transactions!$E:$E,Transactions!$C:$C,$A20,Transactions!$F:$F,"Oct")</f>
        <v>0</v>
      </c>
      <c r="L20">
        <f>SUMIFS(Transactions!$E:$E,Transactions!$C:$C,$A20,Transactions!$F:$F,"Nov")</f>
        <v>0</v>
      </c>
      <c r="M20">
        <f>SUMIFS(Transactions!$E:$E,Transactions!$C:$C,$A20,Transactions!$F:$F,"Dec")</f>
        <v>0</v>
      </c>
      <c r="N20">
        <f t="shared" si="3"/>
        <v>-8754.5400000000009</v>
      </c>
    </row>
    <row r="21" spans="1:14" x14ac:dyDescent="0.2">
      <c r="A21" t="s">
        <v>13</v>
      </c>
      <c r="B21">
        <f>SUMIFS(Transactions!$E:$E,Transactions!$C:$C,$A21,Transactions!$F:$F,"Jan")</f>
        <v>-2076.64</v>
      </c>
      <c r="C21">
        <f>SUMIFS(Transactions!$E:$E,Transactions!$C:$C,$A21,Transactions!$F:$F,"Feb")</f>
        <v>-3750.3500000000004</v>
      </c>
      <c r="D21">
        <f>SUMIFS(Transactions!$E:$E,Transactions!$C:$C,$A21,Transactions!$F:$F,"Mar")</f>
        <v>-802.16</v>
      </c>
      <c r="E21">
        <f>SUMIFS(Transactions!$E:$E,Transactions!$C:$C,$A21,Transactions!$F:$F,"Apr")</f>
        <v>0</v>
      </c>
      <c r="F21">
        <f>SUMIFS(Transactions!$E:$E,Transactions!$C:$C,$A21,Transactions!$F:$F,"May")</f>
        <v>0</v>
      </c>
      <c r="G21">
        <f>SUMIFS(Transactions!$E:$E,Transactions!$C:$C,$A21,Transactions!$F:$F,"Jun")</f>
        <v>0</v>
      </c>
      <c r="H21">
        <f>SUMIFS(Transactions!$E:$E,Transactions!$C:$C,$A21,Transactions!$F:$F,"Jul")</f>
        <v>0</v>
      </c>
      <c r="I21">
        <f>SUMIFS(Transactions!$E:$E,Transactions!$C:$C,$A21,Transactions!$F:$F,"Aug")</f>
        <v>0</v>
      </c>
      <c r="J21">
        <f>SUMIFS(Transactions!$E:$E,Transactions!$C:$C,$A21,Transactions!$F:$F,"Sep")</f>
        <v>0</v>
      </c>
      <c r="K21">
        <f>SUMIFS(Transactions!$E:$E,Transactions!$C:$C,$A21,Transactions!$F:$F,"Oct")</f>
        <v>0</v>
      </c>
      <c r="L21">
        <f>SUMIFS(Transactions!$E:$E,Transactions!$C:$C,$A21,Transactions!$F:$F,"Nov")</f>
        <v>0</v>
      </c>
      <c r="M21">
        <f>SUMIFS(Transactions!$E:$E,Transactions!$C:$C,$A21,Transactions!$F:$F,"Dec")</f>
        <v>0</v>
      </c>
      <c r="N21">
        <f t="shared" si="3"/>
        <v>-6629.15</v>
      </c>
    </row>
    <row r="22" spans="1:14" x14ac:dyDescent="0.2">
      <c r="A22" t="s">
        <v>57</v>
      </c>
      <c r="B22">
        <f>SUMIFS(Transactions!$E:$E,Transactions!$C:$C,$A22,Transactions!$F:$F,"Jan")</f>
        <v>-2508.4000000000005</v>
      </c>
      <c r="C22">
        <f>SUMIFS(Transactions!$E:$E,Transactions!$C:$C,$A22,Transactions!$F:$F,"Feb")</f>
        <v>-149.01</v>
      </c>
      <c r="D22">
        <f>SUMIFS(Transactions!$E:$E,Transactions!$C:$C,$A22,Transactions!$F:$F,"Mar")</f>
        <v>-3300.7200000000003</v>
      </c>
      <c r="E22">
        <f>SUMIFS(Transactions!$E:$E,Transactions!$C:$C,$A22,Transactions!$F:$F,"Apr")</f>
        <v>0</v>
      </c>
      <c r="F22">
        <f>SUMIFS(Transactions!$E:$E,Transactions!$C:$C,$A22,Transactions!$F:$F,"May")</f>
        <v>0</v>
      </c>
      <c r="G22">
        <f>SUMIFS(Transactions!$E:$E,Transactions!$C:$C,$A22,Transactions!$F:$F,"Jun")</f>
        <v>0</v>
      </c>
      <c r="H22">
        <f>SUMIFS(Transactions!$E:$E,Transactions!$C:$C,$A22,Transactions!$F:$F,"Jul")</f>
        <v>0</v>
      </c>
      <c r="I22">
        <f>SUMIFS(Transactions!$E:$E,Transactions!$C:$C,$A22,Transactions!$F:$F,"Aug")</f>
        <v>0</v>
      </c>
      <c r="J22">
        <f>SUMIFS(Transactions!$E:$E,Transactions!$C:$C,$A22,Transactions!$F:$F,"Sep")</f>
        <v>0</v>
      </c>
      <c r="K22">
        <f>SUMIFS(Transactions!$E:$E,Transactions!$C:$C,$A22,Transactions!$F:$F,"Oct")</f>
        <v>0</v>
      </c>
      <c r="L22">
        <f>SUMIFS(Transactions!$E:$E,Transactions!$C:$C,$A22,Transactions!$F:$F,"Nov")</f>
        <v>0</v>
      </c>
      <c r="M22">
        <f>SUMIFS(Transactions!$E:$E,Transactions!$C:$C,$A22,Transactions!$F:$F,"Dec")</f>
        <v>0</v>
      </c>
      <c r="N22">
        <f t="shared" si="3"/>
        <v>-5958.130000000001</v>
      </c>
    </row>
    <row r="23" spans="1:14" x14ac:dyDescent="0.2">
      <c r="A23" t="s">
        <v>11</v>
      </c>
      <c r="B23">
        <f>SUMIFS(Transactions!$E:$E,Transactions!$C:$C,$A23,Transactions!$F:$F,"Jan")</f>
        <v>-1437.93</v>
      </c>
      <c r="C23">
        <f>SUMIFS(Transactions!$E:$E,Transactions!$C:$C,$A23,Transactions!$F:$F,"Feb")</f>
        <v>-3734.6600000000003</v>
      </c>
      <c r="D23">
        <f>SUMIFS(Transactions!$E:$E,Transactions!$C:$C,$A23,Transactions!$F:$F,"Mar")</f>
        <v>-1695.54</v>
      </c>
      <c r="E23">
        <f>SUMIFS(Transactions!$E:$E,Transactions!$C:$C,$A23,Transactions!$F:$F,"Apr")</f>
        <v>0</v>
      </c>
      <c r="F23">
        <f>SUMIFS(Transactions!$E:$E,Transactions!$C:$C,$A23,Transactions!$F:$F,"May")</f>
        <v>0</v>
      </c>
      <c r="G23">
        <f>SUMIFS(Transactions!$E:$E,Transactions!$C:$C,$A23,Transactions!$F:$F,"Jun")</f>
        <v>0</v>
      </c>
      <c r="H23">
        <f>SUMIFS(Transactions!$E:$E,Transactions!$C:$C,$A23,Transactions!$F:$F,"Jul")</f>
        <v>0</v>
      </c>
      <c r="I23">
        <f>SUMIFS(Transactions!$E:$E,Transactions!$C:$C,$A23,Transactions!$F:$F,"Aug")</f>
        <v>0</v>
      </c>
      <c r="J23">
        <f>SUMIFS(Transactions!$E:$E,Transactions!$C:$C,$A23,Transactions!$F:$F,"Sep")</f>
        <v>0</v>
      </c>
      <c r="K23">
        <f>SUMIFS(Transactions!$E:$E,Transactions!$C:$C,$A23,Transactions!$F:$F,"Oct")</f>
        <v>0</v>
      </c>
      <c r="L23">
        <f>SUMIFS(Transactions!$E:$E,Transactions!$C:$C,$A23,Transactions!$F:$F,"Nov")</f>
        <v>0</v>
      </c>
      <c r="M23">
        <f>SUMIFS(Transactions!$E:$E,Transactions!$C:$C,$A23,Transactions!$F:$F,"Dec")</f>
        <v>0</v>
      </c>
      <c r="N23">
        <f t="shared" si="3"/>
        <v>-6868.13</v>
      </c>
    </row>
    <row r="24" spans="1:14" x14ac:dyDescent="0.2">
      <c r="A24" t="s">
        <v>12</v>
      </c>
      <c r="B24">
        <f>SUMIFS(Transactions!$E:$E,Transactions!$C:$C,$A24,Transactions!$F:$F,"Jan")</f>
        <v>-1906.45</v>
      </c>
      <c r="C24">
        <f>SUMIFS(Transactions!$E:$E,Transactions!$C:$C,$A24,Transactions!$F:$F,"Feb")</f>
        <v>-2561.1</v>
      </c>
      <c r="D24">
        <f>SUMIFS(Transactions!$E:$E,Transactions!$C:$C,$A24,Transactions!$F:$F,"Mar")</f>
        <v>-3069.48</v>
      </c>
      <c r="E24">
        <f>SUMIFS(Transactions!$E:$E,Transactions!$C:$C,$A24,Transactions!$F:$F,"Apr")</f>
        <v>0</v>
      </c>
      <c r="F24">
        <f>SUMIFS(Transactions!$E:$E,Transactions!$C:$C,$A24,Transactions!$F:$F,"May")</f>
        <v>0</v>
      </c>
      <c r="G24">
        <f>SUMIFS(Transactions!$E:$E,Transactions!$C:$C,$A24,Transactions!$F:$F,"Jun")</f>
        <v>0</v>
      </c>
      <c r="H24">
        <f>SUMIFS(Transactions!$E:$E,Transactions!$C:$C,$A24,Transactions!$F:$F,"Jul")</f>
        <v>0</v>
      </c>
      <c r="I24">
        <f>SUMIFS(Transactions!$E:$E,Transactions!$C:$C,$A24,Transactions!$F:$F,"Aug")</f>
        <v>0</v>
      </c>
      <c r="J24">
        <f>SUMIFS(Transactions!$E:$E,Transactions!$C:$C,$A24,Transactions!$F:$F,"Sep")</f>
        <v>0</v>
      </c>
      <c r="K24">
        <f>SUMIFS(Transactions!$E:$E,Transactions!$C:$C,$A24,Transactions!$F:$F,"Oct")</f>
        <v>0</v>
      </c>
      <c r="L24">
        <f>SUMIFS(Transactions!$E:$E,Transactions!$C:$C,$A24,Transactions!$F:$F,"Nov")</f>
        <v>0</v>
      </c>
      <c r="M24">
        <f>SUMIFS(Transactions!$E:$E,Transactions!$C:$C,$A24,Transactions!$F:$F,"Dec")</f>
        <v>0</v>
      </c>
      <c r="N24">
        <f t="shared" si="3"/>
        <v>-7537.0300000000007</v>
      </c>
    </row>
    <row r="25" spans="1:14" x14ac:dyDescent="0.2">
      <c r="A25" t="s">
        <v>14</v>
      </c>
      <c r="B25">
        <f>SUMIFS(Transactions!$E:$E,Transactions!$C:$C,$A25,Transactions!$F:$F,"Jan")</f>
        <v>-729.89</v>
      </c>
      <c r="C25">
        <f>SUMIFS(Transactions!$E:$E,Transactions!$C:$C,$A25,Transactions!$F:$F,"Feb")</f>
        <v>-2619.46</v>
      </c>
      <c r="D25">
        <f>SUMIFS(Transactions!$E:$E,Transactions!$C:$C,$A25,Transactions!$F:$F,"Mar")</f>
        <v>-6658.91</v>
      </c>
      <c r="E25">
        <f>SUMIFS(Transactions!$E:$E,Transactions!$C:$C,$A25,Transactions!$F:$F,"Apr")</f>
        <v>0</v>
      </c>
      <c r="F25">
        <f>SUMIFS(Transactions!$E:$E,Transactions!$C:$C,$A25,Transactions!$F:$F,"May")</f>
        <v>0</v>
      </c>
      <c r="G25">
        <f>SUMIFS(Transactions!$E:$E,Transactions!$C:$C,$A25,Transactions!$F:$F,"Jun")</f>
        <v>0</v>
      </c>
      <c r="H25">
        <f>SUMIFS(Transactions!$E:$E,Transactions!$C:$C,$A25,Transactions!$F:$F,"Jul")</f>
        <v>0</v>
      </c>
      <c r="I25">
        <f>SUMIFS(Transactions!$E:$E,Transactions!$C:$C,$A25,Transactions!$F:$F,"Aug")</f>
        <v>0</v>
      </c>
      <c r="J25">
        <f>SUMIFS(Transactions!$E:$E,Transactions!$C:$C,$A25,Transactions!$F:$F,"Sep")</f>
        <v>0</v>
      </c>
      <c r="K25">
        <f>SUMIFS(Transactions!$E:$E,Transactions!$C:$C,$A25,Transactions!$F:$F,"Oct")</f>
        <v>0</v>
      </c>
      <c r="L25">
        <f>SUMIFS(Transactions!$E:$E,Transactions!$C:$C,$A25,Transactions!$F:$F,"Nov")</f>
        <v>0</v>
      </c>
      <c r="M25">
        <f>SUMIFS(Transactions!$E:$E,Transactions!$C:$C,$A25,Transactions!$F:$F,"Dec")</f>
        <v>0</v>
      </c>
      <c r="N25">
        <f t="shared" si="3"/>
        <v>-10008.26</v>
      </c>
    </row>
    <row r="26" spans="1:14" x14ac:dyDescent="0.2">
      <c r="A26" t="s">
        <v>56</v>
      </c>
      <c r="B26">
        <f t="shared" ref="B26:M26" si="4">SUM(B16:B25)</f>
        <v>-16540.740000000002</v>
      </c>
      <c r="C26">
        <f t="shared" si="4"/>
        <v>-22267.739999999998</v>
      </c>
      <c r="D26">
        <f t="shared" si="4"/>
        <v>-21720.23</v>
      </c>
      <c r="E26">
        <f t="shared" si="4"/>
        <v>0</v>
      </c>
      <c r="F26">
        <f t="shared" si="4"/>
        <v>0</v>
      </c>
      <c r="G26">
        <f t="shared" si="4"/>
        <v>0</v>
      </c>
      <c r="H26">
        <f t="shared" si="4"/>
        <v>0</v>
      </c>
      <c r="I26">
        <f t="shared" si="4"/>
        <v>0</v>
      </c>
      <c r="J26">
        <f t="shared" si="4"/>
        <v>0</v>
      </c>
      <c r="K26">
        <f t="shared" si="4"/>
        <v>0</v>
      </c>
      <c r="L26">
        <f t="shared" si="4"/>
        <v>0</v>
      </c>
      <c r="M26">
        <f t="shared" si="4"/>
        <v>0</v>
      </c>
      <c r="N26">
        <f t="shared" si="3"/>
        <v>-60528.709999999992</v>
      </c>
    </row>
  </sheetData>
  <mergeCells count="4">
    <mergeCell ref="A1:N1"/>
    <mergeCell ref="A3:N3"/>
    <mergeCell ref="A9:N9"/>
    <mergeCell ref="A15:N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DC39-E68C-A84F-AD6B-D0793AD43CB2}">
  <dimension ref="A1:C18"/>
  <sheetViews>
    <sheetView topLeftCell="B1" workbookViewId="0">
      <pane ySplit="1" topLeftCell="A2" activePane="bottomLeft" state="frozen"/>
      <selection pane="bottomLeft"/>
    </sheetView>
  </sheetViews>
  <sheetFormatPr baseColWidth="10" defaultColWidth="8.83203125" defaultRowHeight="15" x14ac:dyDescent="0.2"/>
  <cols>
    <col min="1" max="1" width="28" customWidth="1"/>
    <col min="2" max="2" width="15" customWidth="1"/>
    <col min="3" max="3" width="22" customWidth="1"/>
  </cols>
  <sheetData>
    <row r="1" spans="1:3" x14ac:dyDescent="0.2">
      <c r="A1" s="3" t="s">
        <v>2</v>
      </c>
      <c r="B1" s="3" t="s">
        <v>6</v>
      </c>
      <c r="C1" s="3" t="s">
        <v>7</v>
      </c>
    </row>
    <row r="2" spans="1:3" x14ac:dyDescent="0.2">
      <c r="A2" t="s">
        <v>72</v>
      </c>
      <c r="B2" t="s">
        <v>8</v>
      </c>
      <c r="C2">
        <v>3000</v>
      </c>
    </row>
    <row r="3" spans="1:3" x14ac:dyDescent="0.2">
      <c r="A3" t="s">
        <v>71</v>
      </c>
      <c r="B3" t="s">
        <v>8</v>
      </c>
      <c r="C3">
        <v>10</v>
      </c>
    </row>
    <row r="4" spans="1:3" x14ac:dyDescent="0.2">
      <c r="A4" t="s">
        <v>70</v>
      </c>
      <c r="B4" t="s">
        <v>8</v>
      </c>
      <c r="C4">
        <v>50</v>
      </c>
    </row>
    <row r="5" spans="1:3" x14ac:dyDescent="0.2">
      <c r="A5" t="s">
        <v>69</v>
      </c>
      <c r="B5" t="s">
        <v>8</v>
      </c>
      <c r="C5">
        <v>0</v>
      </c>
    </row>
    <row r="6" spans="1:3" x14ac:dyDescent="0.2">
      <c r="A6" t="s">
        <v>66</v>
      </c>
      <c r="B6" t="s">
        <v>8</v>
      </c>
      <c r="C6">
        <v>1200</v>
      </c>
    </row>
    <row r="7" spans="1:3" x14ac:dyDescent="0.2">
      <c r="A7" t="s">
        <v>65</v>
      </c>
      <c r="B7" t="s">
        <v>8</v>
      </c>
      <c r="C7">
        <v>2000</v>
      </c>
    </row>
    <row r="8" spans="1:3" x14ac:dyDescent="0.2">
      <c r="A8" t="s">
        <v>15</v>
      </c>
      <c r="B8" t="s">
        <v>15</v>
      </c>
      <c r="C8">
        <v>500</v>
      </c>
    </row>
    <row r="9" spans="1:3" x14ac:dyDescent="0.2">
      <c r="A9" t="s">
        <v>61</v>
      </c>
      <c r="B9" t="s">
        <v>10</v>
      </c>
      <c r="C9">
        <v>200</v>
      </c>
    </row>
    <row r="10" spans="1:3" x14ac:dyDescent="0.2">
      <c r="A10" t="s">
        <v>60</v>
      </c>
      <c r="B10" t="s">
        <v>10</v>
      </c>
      <c r="C10">
        <v>400</v>
      </c>
    </row>
    <row r="11" spans="1:3" x14ac:dyDescent="0.2">
      <c r="A11" t="s">
        <v>9</v>
      </c>
      <c r="B11" t="s">
        <v>10</v>
      </c>
      <c r="C11">
        <v>1500</v>
      </c>
    </row>
    <row r="12" spans="1:3" x14ac:dyDescent="0.2">
      <c r="A12" t="s">
        <v>59</v>
      </c>
      <c r="B12" t="s">
        <v>10</v>
      </c>
      <c r="C12">
        <v>250</v>
      </c>
    </row>
    <row r="13" spans="1:3" x14ac:dyDescent="0.2">
      <c r="A13" t="s">
        <v>58</v>
      </c>
      <c r="B13" t="s">
        <v>10</v>
      </c>
      <c r="C13">
        <v>350</v>
      </c>
    </row>
    <row r="14" spans="1:3" x14ac:dyDescent="0.2">
      <c r="A14" t="s">
        <v>13</v>
      </c>
      <c r="B14" t="s">
        <v>10</v>
      </c>
      <c r="C14">
        <v>400</v>
      </c>
    </row>
    <row r="15" spans="1:3" x14ac:dyDescent="0.2">
      <c r="A15" t="s">
        <v>57</v>
      </c>
      <c r="B15" t="s">
        <v>10</v>
      </c>
      <c r="C15">
        <v>200</v>
      </c>
    </row>
    <row r="16" spans="1:3" x14ac:dyDescent="0.2">
      <c r="A16" t="s">
        <v>11</v>
      </c>
      <c r="B16" t="s">
        <v>10</v>
      </c>
      <c r="C16">
        <v>600</v>
      </c>
    </row>
    <row r="17" spans="1:3" x14ac:dyDescent="0.2">
      <c r="A17" t="s">
        <v>12</v>
      </c>
      <c r="B17" t="s">
        <v>10</v>
      </c>
      <c r="C17">
        <v>250</v>
      </c>
    </row>
    <row r="18" spans="1:3" x14ac:dyDescent="0.2">
      <c r="A18" t="s">
        <v>14</v>
      </c>
      <c r="B18" t="s">
        <v>10</v>
      </c>
      <c r="C18">
        <v>300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activeCell="B2" sqref="B2"/>
    </sheetView>
  </sheetViews>
  <sheetFormatPr baseColWidth="10" defaultColWidth="8.83203125" defaultRowHeight="15" x14ac:dyDescent="0.2"/>
  <cols>
    <col min="1" max="1" width="10" customWidth="1"/>
    <col min="2" max="3" width="14" customWidth="1"/>
    <col min="4" max="5" width="12" customWidth="1"/>
    <col min="6" max="6" width="14" customWidth="1"/>
  </cols>
  <sheetData>
    <row r="1" spans="1:6" x14ac:dyDescent="0.2">
      <c r="A1" s="1" t="s">
        <v>5</v>
      </c>
      <c r="B1" s="1" t="s">
        <v>8</v>
      </c>
      <c r="C1" s="1" t="s">
        <v>16</v>
      </c>
      <c r="D1" s="1" t="s">
        <v>17</v>
      </c>
      <c r="E1" s="1" t="s">
        <v>15</v>
      </c>
      <c r="F1" s="1" t="s">
        <v>18</v>
      </c>
    </row>
    <row r="2" spans="1:6" x14ac:dyDescent="0.2">
      <c r="A2" t="s">
        <v>19</v>
      </c>
      <c r="B2" t="e">
        <f>SUMIFS(#REF!,#REF!,$A2,#REF!,"Income")</f>
        <v>#REF!</v>
      </c>
      <c r="C2" t="e">
        <f>SUMIFS(#REF!,#REF!,$A2,#REF!,"Expense")</f>
        <v>#REF!</v>
      </c>
      <c r="D2" t="e">
        <f t="shared" ref="D2:D13" si="0">B2-C2</f>
        <v>#REF!</v>
      </c>
      <c r="E2" t="e">
        <f>SUMIFS(#REF!,#REF!,$A2,#REF!,"Savings")</f>
        <v>#REF!</v>
      </c>
      <c r="F2" t="e">
        <f t="shared" ref="F2:F13" si="1">IF(B2=0,0,E2/B2)</f>
        <v>#REF!</v>
      </c>
    </row>
    <row r="3" spans="1:6" x14ac:dyDescent="0.2">
      <c r="A3" t="s">
        <v>20</v>
      </c>
      <c r="B3" t="e">
        <f>SUMIFS(#REF!,#REF!,$A3,#REF!,"Income")</f>
        <v>#REF!</v>
      </c>
      <c r="C3" t="e">
        <f>SUMIFS(#REF!,#REF!,$A3,#REF!,"Expense")</f>
        <v>#REF!</v>
      </c>
      <c r="D3" t="e">
        <f t="shared" si="0"/>
        <v>#REF!</v>
      </c>
      <c r="E3" t="e">
        <f>SUMIFS(#REF!,#REF!,$A3,#REF!,"Savings")</f>
        <v>#REF!</v>
      </c>
      <c r="F3" t="e">
        <f t="shared" si="1"/>
        <v>#REF!</v>
      </c>
    </row>
    <row r="4" spans="1:6" x14ac:dyDescent="0.2">
      <c r="A4" t="s">
        <v>21</v>
      </c>
      <c r="B4" t="e">
        <f>SUMIFS(#REF!,#REF!,$A4,#REF!,"Income")</f>
        <v>#REF!</v>
      </c>
      <c r="C4" t="e">
        <f>SUMIFS(#REF!,#REF!,$A4,#REF!,"Expense")</f>
        <v>#REF!</v>
      </c>
      <c r="D4" t="e">
        <f t="shared" si="0"/>
        <v>#REF!</v>
      </c>
      <c r="E4" t="e">
        <f>SUMIFS(#REF!,#REF!,$A4,#REF!,"Savings")</f>
        <v>#REF!</v>
      </c>
      <c r="F4" t="e">
        <f t="shared" si="1"/>
        <v>#REF!</v>
      </c>
    </row>
    <row r="5" spans="1:6" x14ac:dyDescent="0.2">
      <c r="A5" t="s">
        <v>22</v>
      </c>
      <c r="B5" t="e">
        <f>SUMIFS(#REF!,#REF!,$A5,#REF!,"Income")</f>
        <v>#REF!</v>
      </c>
      <c r="C5" t="e">
        <f>SUMIFS(#REF!,#REF!,$A5,#REF!,"Expense")</f>
        <v>#REF!</v>
      </c>
      <c r="D5" t="e">
        <f t="shared" si="0"/>
        <v>#REF!</v>
      </c>
      <c r="E5" t="e">
        <f>SUMIFS(#REF!,#REF!,$A5,#REF!,"Savings")</f>
        <v>#REF!</v>
      </c>
      <c r="F5" t="e">
        <f t="shared" si="1"/>
        <v>#REF!</v>
      </c>
    </row>
    <row r="6" spans="1:6" x14ac:dyDescent="0.2">
      <c r="A6" t="s">
        <v>23</v>
      </c>
      <c r="B6" t="e">
        <f>SUMIFS(#REF!,#REF!,$A6,#REF!,"Income")</f>
        <v>#REF!</v>
      </c>
      <c r="C6" t="e">
        <f>SUMIFS(#REF!,#REF!,$A6,#REF!,"Expense")</f>
        <v>#REF!</v>
      </c>
      <c r="D6" t="e">
        <f t="shared" si="0"/>
        <v>#REF!</v>
      </c>
      <c r="E6" t="e">
        <f>SUMIFS(#REF!,#REF!,$A6,#REF!,"Savings")</f>
        <v>#REF!</v>
      </c>
      <c r="F6" t="e">
        <f t="shared" si="1"/>
        <v>#REF!</v>
      </c>
    </row>
    <row r="7" spans="1:6" x14ac:dyDescent="0.2">
      <c r="A7" t="s">
        <v>24</v>
      </c>
      <c r="B7" t="e">
        <f>SUMIFS(#REF!,#REF!,$A7,#REF!,"Income")</f>
        <v>#REF!</v>
      </c>
      <c r="C7" t="e">
        <f>SUMIFS(#REF!,#REF!,$A7,#REF!,"Expense")</f>
        <v>#REF!</v>
      </c>
      <c r="D7" t="e">
        <f t="shared" si="0"/>
        <v>#REF!</v>
      </c>
      <c r="E7" t="e">
        <f>SUMIFS(#REF!,#REF!,$A7,#REF!,"Savings")</f>
        <v>#REF!</v>
      </c>
      <c r="F7" t="e">
        <f t="shared" si="1"/>
        <v>#REF!</v>
      </c>
    </row>
    <row r="8" spans="1:6" x14ac:dyDescent="0.2">
      <c r="A8" t="s">
        <v>25</v>
      </c>
      <c r="B8" t="e">
        <f>SUMIFS(#REF!,#REF!,$A8,#REF!,"Income")</f>
        <v>#REF!</v>
      </c>
      <c r="C8" t="e">
        <f>SUMIFS(#REF!,#REF!,$A8,#REF!,"Expense")</f>
        <v>#REF!</v>
      </c>
      <c r="D8" t="e">
        <f t="shared" si="0"/>
        <v>#REF!</v>
      </c>
      <c r="E8" t="e">
        <f>SUMIFS(#REF!,#REF!,$A8,#REF!,"Savings")</f>
        <v>#REF!</v>
      </c>
      <c r="F8" t="e">
        <f t="shared" si="1"/>
        <v>#REF!</v>
      </c>
    </row>
    <row r="9" spans="1:6" x14ac:dyDescent="0.2">
      <c r="A9" t="s">
        <v>26</v>
      </c>
      <c r="B9" t="e">
        <f>SUMIFS(#REF!,#REF!,$A9,#REF!,"Income")</f>
        <v>#REF!</v>
      </c>
      <c r="C9" t="e">
        <f>SUMIFS(#REF!,#REF!,$A9,#REF!,"Expense")</f>
        <v>#REF!</v>
      </c>
      <c r="D9" t="e">
        <f t="shared" si="0"/>
        <v>#REF!</v>
      </c>
      <c r="E9" t="e">
        <f>SUMIFS(#REF!,#REF!,$A9,#REF!,"Savings")</f>
        <v>#REF!</v>
      </c>
      <c r="F9" t="e">
        <f t="shared" si="1"/>
        <v>#REF!</v>
      </c>
    </row>
    <row r="10" spans="1:6" x14ac:dyDescent="0.2">
      <c r="A10" t="s">
        <v>27</v>
      </c>
      <c r="B10" t="e">
        <f>SUMIFS(#REF!,#REF!,$A10,#REF!,"Income")</f>
        <v>#REF!</v>
      </c>
      <c r="C10" t="e">
        <f>SUMIFS(#REF!,#REF!,$A10,#REF!,"Expense")</f>
        <v>#REF!</v>
      </c>
      <c r="D10" t="e">
        <f t="shared" si="0"/>
        <v>#REF!</v>
      </c>
      <c r="E10" t="e">
        <f>SUMIFS(#REF!,#REF!,$A10,#REF!,"Savings")</f>
        <v>#REF!</v>
      </c>
      <c r="F10" t="e">
        <f t="shared" si="1"/>
        <v>#REF!</v>
      </c>
    </row>
    <row r="11" spans="1:6" x14ac:dyDescent="0.2">
      <c r="A11" t="s">
        <v>28</v>
      </c>
      <c r="B11" t="e">
        <f>SUMIFS(#REF!,#REF!,$A11,#REF!,"Income")</f>
        <v>#REF!</v>
      </c>
      <c r="C11" t="e">
        <f>SUMIFS(#REF!,#REF!,$A11,#REF!,"Expense")</f>
        <v>#REF!</v>
      </c>
      <c r="D11" t="e">
        <f t="shared" si="0"/>
        <v>#REF!</v>
      </c>
      <c r="E11" t="e">
        <f>SUMIFS(#REF!,#REF!,$A11,#REF!,"Savings")</f>
        <v>#REF!</v>
      </c>
      <c r="F11" t="e">
        <f t="shared" si="1"/>
        <v>#REF!</v>
      </c>
    </row>
    <row r="12" spans="1:6" x14ac:dyDescent="0.2">
      <c r="A12" t="s">
        <v>29</v>
      </c>
      <c r="B12" t="e">
        <f>SUMIFS(#REF!,#REF!,$A12,#REF!,"Income")</f>
        <v>#REF!</v>
      </c>
      <c r="C12" t="e">
        <f>SUMIFS(#REF!,#REF!,$A12,#REF!,"Expense")</f>
        <v>#REF!</v>
      </c>
      <c r="D12" t="e">
        <f t="shared" si="0"/>
        <v>#REF!</v>
      </c>
      <c r="E12" t="e">
        <f>SUMIFS(#REF!,#REF!,$A12,#REF!,"Savings")</f>
        <v>#REF!</v>
      </c>
      <c r="F12" t="e">
        <f t="shared" si="1"/>
        <v>#REF!</v>
      </c>
    </row>
    <row r="13" spans="1:6" x14ac:dyDescent="0.2">
      <c r="A13" t="s">
        <v>30</v>
      </c>
      <c r="B13" t="e">
        <f>SUMIFS(#REF!,#REF!,$A13,#REF!,"Income")</f>
        <v>#REF!</v>
      </c>
      <c r="C13" t="e">
        <f>SUMIFS(#REF!,#REF!,$A13,#REF!,"Expense")</f>
        <v>#REF!</v>
      </c>
      <c r="D13" t="e">
        <f t="shared" si="0"/>
        <v>#REF!</v>
      </c>
      <c r="E13" t="e">
        <f>SUMIFS(#REF!,#REF!,$A13,#REF!,"Savings")</f>
        <v>#REF!</v>
      </c>
      <c r="F13" t="e">
        <f t="shared" si="1"/>
        <v>#REF!</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F26C-3036-FA4F-969B-7F550232B098}">
  <dimension ref="A1:G13"/>
  <sheetViews>
    <sheetView tabSelected="1" workbookViewId="0">
      <pane ySplit="1" topLeftCell="A2" activePane="bottomLeft" state="frozen"/>
      <selection pane="bottomLeft"/>
    </sheetView>
  </sheetViews>
  <sheetFormatPr baseColWidth="10" defaultColWidth="8.83203125" defaultRowHeight="15" x14ac:dyDescent="0.2"/>
  <cols>
    <col min="1" max="1" width="10" customWidth="1"/>
    <col min="2" max="2" width="18" customWidth="1"/>
    <col min="3" max="3" width="20" customWidth="1"/>
    <col min="4" max="4" width="18" customWidth="1"/>
    <col min="5" max="5" width="20" customWidth="1"/>
    <col min="6" max="6" width="12" customWidth="1"/>
    <col min="7" max="7" width="24" customWidth="1"/>
  </cols>
  <sheetData>
    <row r="1" spans="1:7" x14ac:dyDescent="0.2">
      <c r="A1" s="3" t="s">
        <v>5</v>
      </c>
      <c r="B1" s="3" t="s">
        <v>55</v>
      </c>
      <c r="C1" s="3" t="s">
        <v>54</v>
      </c>
      <c r="D1" s="3" t="s">
        <v>53</v>
      </c>
      <c r="E1" s="3" t="s">
        <v>52</v>
      </c>
      <c r="F1" s="3" t="s">
        <v>17</v>
      </c>
      <c r="G1" s="3" t="s">
        <v>35</v>
      </c>
    </row>
    <row r="2" spans="1:7" x14ac:dyDescent="0.2">
      <c r="A2" t="s">
        <v>19</v>
      </c>
      <c r="B2">
        <f>SUMIF(Categories!$B:$B,"Income",Categories!$C:$C)</f>
        <v>6260</v>
      </c>
      <c r="C2">
        <f>SUMIF(Categories!$B:$B,"Expense",Categories!$C:$C)</f>
        <v>4450</v>
      </c>
      <c r="D2">
        <f>SUMIFS(Transactions!$E:$E,Transactions!$F:$F,$A2,Transactions!$G:$G,"Income")</f>
        <v>17002.05</v>
      </c>
      <c r="E2">
        <f>ABS(SUMIFS(Transactions!$E:$E,Transactions!$F:$F,$A2,Transactions!$G:$G,"Expense"))</f>
        <v>16540.740000000002</v>
      </c>
      <c r="F2">
        <f t="shared" ref="F2:F13" si="0">D2-E2</f>
        <v>461.30999999999767</v>
      </c>
    </row>
    <row r="3" spans="1:7" x14ac:dyDescent="0.2">
      <c r="A3" t="s">
        <v>20</v>
      </c>
      <c r="B3">
        <f>SUMIF(Categories!$B:$B,"Income",Categories!$C:$C)</f>
        <v>6260</v>
      </c>
      <c r="C3">
        <f>SUMIF(Categories!$B:$B,"Expense",Categories!$C:$C)</f>
        <v>4450</v>
      </c>
      <c r="D3">
        <f>SUMIFS(Transactions!$E:$E,Transactions!$F:$F,$A3,Transactions!$G:$G,"Income")</f>
        <v>22165.660000000003</v>
      </c>
      <c r="E3">
        <f>ABS(SUMIFS(Transactions!$E:$E,Transactions!$F:$F,$A3,Transactions!$G:$G,"Expense"))</f>
        <v>22267.739999999998</v>
      </c>
      <c r="F3">
        <f t="shared" si="0"/>
        <v>-102.07999999999447</v>
      </c>
    </row>
    <row r="4" spans="1:7" x14ac:dyDescent="0.2">
      <c r="A4" t="s">
        <v>21</v>
      </c>
      <c r="B4">
        <f>SUMIF(Categories!$B:$B,"Income",Categories!$C:$C)</f>
        <v>6260</v>
      </c>
      <c r="C4">
        <f>SUMIF(Categories!$B:$B,"Expense",Categories!$C:$C)</f>
        <v>4450</v>
      </c>
      <c r="D4">
        <f>SUMIFS(Transactions!$E:$E,Transactions!$F:$F,$A4,Transactions!$G:$G,"Income")</f>
        <v>31241.920000000006</v>
      </c>
      <c r="E4">
        <f>ABS(SUMIFS(Transactions!$E:$E,Transactions!$F:$F,$A4,Transactions!$G:$G,"Expense"))</f>
        <v>21720.23</v>
      </c>
      <c r="F4">
        <f t="shared" si="0"/>
        <v>9521.690000000006</v>
      </c>
    </row>
    <row r="5" spans="1:7" x14ac:dyDescent="0.2">
      <c r="A5" t="s">
        <v>22</v>
      </c>
      <c r="B5">
        <f>SUMIF(Categories!$B:$B,"Income",Categories!$C:$C)</f>
        <v>6260</v>
      </c>
      <c r="C5">
        <f>SUMIF(Categories!$B:$B,"Expense",Categories!$C:$C)</f>
        <v>4450</v>
      </c>
      <c r="D5">
        <f>SUMIFS(Transactions!$E:$E,Transactions!$F:$F,$A5,Transactions!$G:$G,"Income")</f>
        <v>0</v>
      </c>
      <c r="E5">
        <f>ABS(SUMIFS(Transactions!$E:$E,Transactions!$F:$F,$A5,Transactions!$G:$G,"Expense"))</f>
        <v>0</v>
      </c>
      <c r="F5">
        <f t="shared" si="0"/>
        <v>0</v>
      </c>
    </row>
    <row r="6" spans="1:7" x14ac:dyDescent="0.2">
      <c r="A6" t="s">
        <v>23</v>
      </c>
      <c r="B6">
        <f>SUMIF(Categories!$B:$B,"Income",Categories!$C:$C)</f>
        <v>6260</v>
      </c>
      <c r="C6">
        <f>SUMIF(Categories!$B:$B,"Expense",Categories!$C:$C)</f>
        <v>4450</v>
      </c>
      <c r="D6">
        <f>SUMIFS(Transactions!$E:$E,Transactions!$F:$F,$A6,Transactions!$G:$G,"Income")</f>
        <v>0</v>
      </c>
      <c r="E6">
        <f>ABS(SUMIFS(Transactions!$E:$E,Transactions!$F:$F,$A6,Transactions!$G:$G,"Expense"))</f>
        <v>0</v>
      </c>
      <c r="F6">
        <f t="shared" si="0"/>
        <v>0</v>
      </c>
    </row>
    <row r="7" spans="1:7" x14ac:dyDescent="0.2">
      <c r="A7" t="s">
        <v>24</v>
      </c>
      <c r="B7">
        <f>SUMIF(Categories!$B:$B,"Income",Categories!$C:$C)</f>
        <v>6260</v>
      </c>
      <c r="C7">
        <f>SUMIF(Categories!$B:$B,"Expense",Categories!$C:$C)</f>
        <v>4450</v>
      </c>
      <c r="D7">
        <f>SUMIFS(Transactions!$E:$E,Transactions!$F:$F,$A7,Transactions!$G:$G,"Income")</f>
        <v>0</v>
      </c>
      <c r="E7">
        <f>ABS(SUMIFS(Transactions!$E:$E,Transactions!$F:$F,$A7,Transactions!$G:$G,"Expense"))</f>
        <v>0</v>
      </c>
      <c r="F7">
        <f t="shared" si="0"/>
        <v>0</v>
      </c>
    </row>
    <row r="8" spans="1:7" x14ac:dyDescent="0.2">
      <c r="A8" t="s">
        <v>25</v>
      </c>
      <c r="B8">
        <f>SUMIF(Categories!$B:$B,"Income",Categories!$C:$C)</f>
        <v>6260</v>
      </c>
      <c r="C8">
        <f>SUMIF(Categories!$B:$B,"Expense",Categories!$C:$C)</f>
        <v>4450</v>
      </c>
      <c r="D8">
        <f>SUMIFS(Transactions!$E:$E,Transactions!$F:$F,$A8,Transactions!$G:$G,"Income")</f>
        <v>0</v>
      </c>
      <c r="E8">
        <f>ABS(SUMIFS(Transactions!$E:$E,Transactions!$F:$F,$A8,Transactions!$G:$G,"Expense"))</f>
        <v>0</v>
      </c>
      <c r="F8">
        <f t="shared" si="0"/>
        <v>0</v>
      </c>
    </row>
    <row r="9" spans="1:7" x14ac:dyDescent="0.2">
      <c r="A9" t="s">
        <v>26</v>
      </c>
      <c r="B9">
        <f>SUMIF(Categories!$B:$B,"Income",Categories!$C:$C)</f>
        <v>6260</v>
      </c>
      <c r="C9">
        <f>SUMIF(Categories!$B:$B,"Expense",Categories!$C:$C)</f>
        <v>4450</v>
      </c>
      <c r="D9">
        <f>SUMIFS(Transactions!$E:$E,Transactions!$F:$F,$A9,Transactions!$G:$G,"Income")</f>
        <v>0</v>
      </c>
      <c r="E9">
        <f>ABS(SUMIFS(Transactions!$E:$E,Transactions!$F:$F,$A9,Transactions!$G:$G,"Expense"))</f>
        <v>0</v>
      </c>
      <c r="F9">
        <f t="shared" si="0"/>
        <v>0</v>
      </c>
    </row>
    <row r="10" spans="1:7" x14ac:dyDescent="0.2">
      <c r="A10" t="s">
        <v>27</v>
      </c>
      <c r="B10">
        <f>SUMIF(Categories!$B:$B,"Income",Categories!$C:$C)</f>
        <v>6260</v>
      </c>
      <c r="C10">
        <f>SUMIF(Categories!$B:$B,"Expense",Categories!$C:$C)</f>
        <v>4450</v>
      </c>
      <c r="D10">
        <f>SUMIFS(Transactions!$E:$E,Transactions!$F:$F,$A10,Transactions!$G:$G,"Income")</f>
        <v>0</v>
      </c>
      <c r="E10">
        <f>ABS(SUMIFS(Transactions!$E:$E,Transactions!$F:$F,$A10,Transactions!$G:$G,"Expense"))</f>
        <v>0</v>
      </c>
      <c r="F10">
        <f t="shared" si="0"/>
        <v>0</v>
      </c>
    </row>
    <row r="11" spans="1:7" x14ac:dyDescent="0.2">
      <c r="A11" t="s">
        <v>28</v>
      </c>
      <c r="B11">
        <f>SUMIF(Categories!$B:$B,"Income",Categories!$C:$C)</f>
        <v>6260</v>
      </c>
      <c r="C11">
        <f>SUMIF(Categories!$B:$B,"Expense",Categories!$C:$C)</f>
        <v>4450</v>
      </c>
      <c r="D11">
        <f>SUMIFS(Transactions!$E:$E,Transactions!$F:$F,$A11,Transactions!$G:$G,"Income")</f>
        <v>0</v>
      </c>
      <c r="E11">
        <f>ABS(SUMIFS(Transactions!$E:$E,Transactions!$F:$F,$A11,Transactions!$G:$G,"Expense"))</f>
        <v>0</v>
      </c>
      <c r="F11">
        <f t="shared" si="0"/>
        <v>0</v>
      </c>
    </row>
    <row r="12" spans="1:7" x14ac:dyDescent="0.2">
      <c r="A12" t="s">
        <v>29</v>
      </c>
      <c r="B12">
        <f>SUMIF(Categories!$B:$B,"Income",Categories!$C:$C)</f>
        <v>6260</v>
      </c>
      <c r="C12">
        <f>SUMIF(Categories!$B:$B,"Expense",Categories!$C:$C)</f>
        <v>4450</v>
      </c>
      <c r="D12">
        <f>SUMIFS(Transactions!$E:$E,Transactions!$F:$F,$A12,Transactions!$G:$G,"Income")</f>
        <v>0</v>
      </c>
      <c r="E12">
        <f>ABS(SUMIFS(Transactions!$E:$E,Transactions!$F:$F,$A12,Transactions!$G:$G,"Expense"))</f>
        <v>0</v>
      </c>
      <c r="F12">
        <f t="shared" si="0"/>
        <v>0</v>
      </c>
    </row>
    <row r="13" spans="1:7" x14ac:dyDescent="0.2">
      <c r="A13" t="s">
        <v>30</v>
      </c>
      <c r="B13">
        <f>SUMIF(Categories!$B:$B,"Income",Categories!$C:$C)</f>
        <v>6260</v>
      </c>
      <c r="C13">
        <f>SUMIF(Categories!$B:$B,"Expense",Categories!$C:$C)</f>
        <v>4450</v>
      </c>
      <c r="D13">
        <f>SUMIFS(Transactions!$E:$E,Transactions!$F:$F,$A13,Transactions!$G:$G,"Income")</f>
        <v>0</v>
      </c>
      <c r="E13">
        <f>ABS(SUMIFS(Transactions!$E:$E,Transactions!$F:$F,$A13,Transactions!$G:$G,"Expense"))</f>
        <v>0</v>
      </c>
      <c r="F13">
        <f t="shared" si="0"/>
        <v>0</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pane ySplit="1" topLeftCell="A2" activePane="bottomLeft" state="frozen"/>
      <selection pane="bottomLeft" activeCell="C2" sqref="C2"/>
    </sheetView>
  </sheetViews>
  <sheetFormatPr baseColWidth="10" defaultColWidth="8.83203125" defaultRowHeight="15" x14ac:dyDescent="0.2"/>
  <cols>
    <col min="1" max="1" width="10" customWidth="1"/>
    <col min="2" max="3" width="18" customWidth="1"/>
    <col min="4" max="4" width="12" customWidth="1"/>
  </cols>
  <sheetData>
    <row r="1" spans="1:4" x14ac:dyDescent="0.2">
      <c r="A1" s="1" t="s">
        <v>5</v>
      </c>
      <c r="B1" s="1" t="s">
        <v>31</v>
      </c>
      <c r="C1" s="1" t="s">
        <v>32</v>
      </c>
      <c r="D1" s="1" t="s">
        <v>33</v>
      </c>
    </row>
    <row r="2" spans="1:4" x14ac:dyDescent="0.2">
      <c r="A2" t="s">
        <v>19</v>
      </c>
      <c r="C2" t="e">
        <f>'Income-Expense By Month'!E2</f>
        <v>#REF!</v>
      </c>
      <c r="D2" t="e">
        <f t="shared" ref="D2:D13" si="0">C2-B2</f>
        <v>#REF!</v>
      </c>
    </row>
    <row r="3" spans="1:4" x14ac:dyDescent="0.2">
      <c r="A3" t="s">
        <v>20</v>
      </c>
      <c r="C3" t="e">
        <f>'Income-Expense By Month'!E3</f>
        <v>#REF!</v>
      </c>
      <c r="D3" t="e">
        <f t="shared" si="0"/>
        <v>#REF!</v>
      </c>
    </row>
    <row r="4" spans="1:4" x14ac:dyDescent="0.2">
      <c r="A4" t="s">
        <v>21</v>
      </c>
      <c r="C4" t="e">
        <f>'Income-Expense By Month'!E4</f>
        <v>#REF!</v>
      </c>
      <c r="D4" t="e">
        <f t="shared" si="0"/>
        <v>#REF!</v>
      </c>
    </row>
    <row r="5" spans="1:4" x14ac:dyDescent="0.2">
      <c r="A5" t="s">
        <v>22</v>
      </c>
      <c r="C5" t="e">
        <f>'Income-Expense By Month'!E5</f>
        <v>#REF!</v>
      </c>
      <c r="D5" t="e">
        <f t="shared" si="0"/>
        <v>#REF!</v>
      </c>
    </row>
    <row r="6" spans="1:4" x14ac:dyDescent="0.2">
      <c r="A6" t="s">
        <v>23</v>
      </c>
      <c r="C6" t="e">
        <f>'Income-Expense By Month'!E6</f>
        <v>#REF!</v>
      </c>
      <c r="D6" t="e">
        <f t="shared" si="0"/>
        <v>#REF!</v>
      </c>
    </row>
    <row r="7" spans="1:4" x14ac:dyDescent="0.2">
      <c r="A7" t="s">
        <v>24</v>
      </c>
      <c r="C7" t="e">
        <f>'Income-Expense By Month'!E7</f>
        <v>#REF!</v>
      </c>
      <c r="D7" t="e">
        <f t="shared" si="0"/>
        <v>#REF!</v>
      </c>
    </row>
    <row r="8" spans="1:4" x14ac:dyDescent="0.2">
      <c r="A8" t="s">
        <v>25</v>
      </c>
      <c r="C8" t="e">
        <f>'Income-Expense By Month'!E8</f>
        <v>#REF!</v>
      </c>
      <c r="D8" t="e">
        <f t="shared" si="0"/>
        <v>#REF!</v>
      </c>
    </row>
    <row r="9" spans="1:4" x14ac:dyDescent="0.2">
      <c r="A9" t="s">
        <v>26</v>
      </c>
      <c r="C9" t="e">
        <f>'Income-Expense By Month'!E9</f>
        <v>#REF!</v>
      </c>
      <c r="D9" t="e">
        <f t="shared" si="0"/>
        <v>#REF!</v>
      </c>
    </row>
    <row r="10" spans="1:4" x14ac:dyDescent="0.2">
      <c r="A10" t="s">
        <v>27</v>
      </c>
      <c r="C10" t="e">
        <f>'Income-Expense By Month'!E10</f>
        <v>#REF!</v>
      </c>
      <c r="D10" t="e">
        <f t="shared" si="0"/>
        <v>#REF!</v>
      </c>
    </row>
    <row r="11" spans="1:4" x14ac:dyDescent="0.2">
      <c r="A11" t="s">
        <v>28</v>
      </c>
      <c r="C11" t="e">
        <f>'Income-Expense By Month'!E11</f>
        <v>#REF!</v>
      </c>
      <c r="D11" t="e">
        <f t="shared" si="0"/>
        <v>#REF!</v>
      </c>
    </row>
    <row r="12" spans="1:4" x14ac:dyDescent="0.2">
      <c r="A12" t="s">
        <v>29</v>
      </c>
      <c r="C12" t="e">
        <f>'Income-Expense By Month'!E12</f>
        <v>#REF!</v>
      </c>
      <c r="D12" t="e">
        <f t="shared" si="0"/>
        <v>#REF!</v>
      </c>
    </row>
    <row r="13" spans="1:4" x14ac:dyDescent="0.2">
      <c r="A13" t="s">
        <v>30</v>
      </c>
      <c r="C13" t="e">
        <f>'Income-Expense By Month'!E13</f>
        <v>#REF!</v>
      </c>
      <c r="D13" t="e">
        <f t="shared" si="0"/>
        <v>#REF!</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baseColWidth="10" defaultColWidth="8.83203125" defaultRowHeight="15" x14ac:dyDescent="0.2"/>
  <cols>
    <col min="1" max="1" width="30" customWidth="1"/>
    <col min="2" max="2" width="14" customWidth="1"/>
    <col min="3" max="3" width="40" customWidth="1"/>
  </cols>
  <sheetData>
    <row r="1" spans="1:3" x14ac:dyDescent="0.2">
      <c r="A1" s="1" t="s">
        <v>34</v>
      </c>
      <c r="B1" s="1" t="s">
        <v>4</v>
      </c>
      <c r="C1" s="1" t="s">
        <v>35</v>
      </c>
    </row>
    <row r="2" spans="1:3" x14ac:dyDescent="0.2">
      <c r="A2" t="s">
        <v>36</v>
      </c>
    </row>
    <row r="3" spans="1:3" x14ac:dyDescent="0.2">
      <c r="A3" t="s">
        <v>37</v>
      </c>
    </row>
    <row r="4" spans="1:3" x14ac:dyDescent="0.2">
      <c r="A4" t="s">
        <v>38</v>
      </c>
    </row>
    <row r="5" spans="1:3" x14ac:dyDescent="0.2">
      <c r="A5" t="s">
        <v>39</v>
      </c>
    </row>
    <row r="6" spans="1:3" x14ac:dyDescent="0.2">
      <c r="A6" t="s">
        <v>40</v>
      </c>
    </row>
    <row r="7" spans="1:3" x14ac:dyDescent="0.2">
      <c r="A7" t="s">
        <v>41</v>
      </c>
    </row>
    <row r="8" spans="1:3" x14ac:dyDescent="0.2">
      <c r="A8" t="s">
        <v>42</v>
      </c>
    </row>
    <row r="9" spans="1:3" x14ac:dyDescent="0.2">
      <c r="A9" t="s">
        <v>43</v>
      </c>
    </row>
    <row r="10" spans="1:3" x14ac:dyDescent="0.2">
      <c r="A10" t="s">
        <v>44</v>
      </c>
    </row>
    <row r="11" spans="1:3" x14ac:dyDescent="0.2">
      <c r="A11" t="s">
        <v>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5" x14ac:dyDescent="0.2"/>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selection activeCell="A5" sqref="A5"/>
    </sheetView>
  </sheetViews>
  <sheetFormatPr baseColWidth="10" defaultColWidth="8.83203125" defaultRowHeight="15" x14ac:dyDescent="0.2"/>
  <sheetData>
    <row r="1" spans="1:2" x14ac:dyDescent="0.2">
      <c r="A1" s="2" t="s">
        <v>46</v>
      </c>
      <c r="B1" t="s">
        <v>47</v>
      </c>
    </row>
    <row r="2" spans="1:2" x14ac:dyDescent="0.2">
      <c r="A2" s="2" t="s">
        <v>48</v>
      </c>
      <c r="B2" t="s">
        <v>49</v>
      </c>
    </row>
    <row r="4" spans="1:2" x14ac:dyDescent="0.2">
      <c r="A4" s="2" t="s">
        <v>50</v>
      </c>
    </row>
    <row r="5" spans="1:2" x14ac:dyDescent="0.2">
      <c r="A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Transactions</vt:lpstr>
      <vt:lpstr>Year Detail</vt:lpstr>
      <vt:lpstr>Categories</vt:lpstr>
      <vt:lpstr>Income-Expense By Month</vt:lpstr>
      <vt:lpstr>Annual Summary</vt:lpstr>
      <vt:lpstr>Savings Tracker</vt:lpstr>
      <vt:lpstr>Tax Deductions</vt:lpstr>
      <vt:lpstr>Charts</vt:lpstr>
      <vt:lpstr>Settings &amp; Help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Sparano</cp:lastModifiedBy>
  <dcterms:created xsi:type="dcterms:W3CDTF">2025-06-23T04:44:30Z</dcterms:created>
  <dcterms:modified xsi:type="dcterms:W3CDTF">2025-06-30T21:31:35Z</dcterms:modified>
</cp:coreProperties>
</file>